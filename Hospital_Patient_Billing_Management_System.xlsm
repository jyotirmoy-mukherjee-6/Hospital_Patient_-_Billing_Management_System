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3.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pivotTables/pivotTable4.xml" ContentType="application/vnd.openxmlformats-officedocument.spreadsheetml.pivotTable+xml"/>
  <Override PartName="/xl/drawings/drawing10.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slicers/slicer7.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00000000-0000-0000-0000-000000000000}"/>
  <workbookPr codeName="ThisWorkbook" hidePivotFieldList="1"/>
  <mc:AlternateContent xmlns:mc="http://schemas.openxmlformats.org/markup-compatibility/2006">
    <mc:Choice Requires="x15">
      <x15ac:absPath xmlns:x15ac="http://schemas.microsoft.com/office/spreadsheetml/2010/11/ac" url="https://d.docs.live.net/6b8d62c15d6fa5cb/Desktop/New folder/"/>
    </mc:Choice>
  </mc:AlternateContent>
  <xr:revisionPtr revIDLastSave="58" documentId="8_{26161916-F1CB-4959-B348-B613F4806ADC}" xr6:coauthVersionLast="47" xr6:coauthVersionMax="47" xr10:uidLastSave="{98B31635-BE0D-48B2-93E0-7A4488985A47}"/>
  <bookViews>
    <workbookView xWindow="-110" yWindow="-110" windowWidth="22620" windowHeight="13500" firstSheet="13" activeTab="13" xr2:uid="{00000000-000D-0000-FFFF-FFFF00000000}"/>
  </bookViews>
  <sheets>
    <sheet name="Sheet5" sheetId="10" r:id="rId1"/>
    <sheet name="Sheet4" sheetId="18" r:id="rId2"/>
    <sheet name="Patient_Dashboard" sheetId="14" r:id="rId3"/>
    <sheet name="Search_Patient" sheetId="26" r:id="rId4"/>
    <sheet name="RAW_DATA" sheetId="7" r:id="rId5"/>
    <sheet name="Sheet9" sheetId="20" r:id="rId6"/>
    <sheet name="data_entry" sheetId="22" r:id="rId7"/>
    <sheet name="DATA_BASE" sheetId="27" r:id="rId8"/>
    <sheet name="CLEAN_DATA" sheetId="11" r:id="rId9"/>
    <sheet name="Sheet7" sheetId="12" r:id="rId10"/>
    <sheet name="Sheet2" sheetId="21" r:id="rId11"/>
    <sheet name="Sheet8" sheetId="13" r:id="rId12"/>
    <sheet name="Home" sheetId="23" r:id="rId13"/>
    <sheet name="Hospital_Dashboard" sheetId="25" r:id="rId14"/>
  </sheets>
  <definedNames>
    <definedName name="_xlcn.WorksheetConnection_CLEAN_DATAA1K100" hidden="1">CLEAN_DATA!$A$1:$K$100</definedName>
    <definedName name="_xlcn.WorksheetConnection_RAW_DATAA1Q101" hidden="1">RAW_DATA!$A$1:$Q$101</definedName>
    <definedName name="_xlcn.WorksheetConnection_RAW_DATAD1R100" hidden="1">RAW_DATA!$D$1:$R$100</definedName>
    <definedName name="_xlcn.WorksheetConnection_Sheet2P1Z100" hidden="1">RAW_DATA!$A$1:$K$100</definedName>
    <definedName name="Slicer_ADMIT_DATE">#N/A</definedName>
    <definedName name="Slicer_DEPARTMENT">#N/A</definedName>
    <definedName name="Slicer_DEPARTMENT1">#N/A</definedName>
    <definedName name="Slicer_DEPARTMENT2">#N/A</definedName>
    <definedName name="Slicer_DOCTOR">#N/A</definedName>
    <definedName name="Slicer_INSURANCE">#N/A</definedName>
    <definedName name="Slicer_PAYMENT">#N/A</definedName>
    <definedName name="Slicer_SEX">#N/A</definedName>
  </definedNames>
  <calcPr calcId="191028"/>
  <pivotCaches>
    <pivotCache cacheId="139" r:id="rId15"/>
    <pivotCache cacheId="140" r:id="rId16"/>
    <pivotCache cacheId="141" r:id="rId17"/>
    <pivotCache cacheId="142" r:id="rId18"/>
    <pivotCache cacheId="143" r:id="rId19"/>
  </pivotCaches>
  <extLst>
    <ext xmlns:x14="http://schemas.microsoft.com/office/spreadsheetml/2009/9/main" uri="{876F7934-8845-4945-9796-88D515C7AA90}">
      <x14:pivotCaches>
        <pivotCache cacheId="144" r:id="rId20"/>
        <pivotCache cacheId="145" r:id="rId21"/>
      </x14:pivotCaches>
    </ex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2!$P$1:$Z$100"/>
          <x15:modelTable id="Range 3" name="Range 3" connection="WorksheetConnection_RAW_DATA!$D$1:$R$100"/>
          <x15:modelTable id="Range 2" name="Range 2" connection="WorksheetConnection_RAW_DATA!$A$1:$Q$101"/>
          <x15:modelTable id="Range 1" name="Range 1" connection="WorksheetConnection_CLEAN_DATA!$A$1:$K$10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26" l="1"/>
  <c r="B9" i="26"/>
  <c r="B8" i="26"/>
  <c r="B7" i="26"/>
  <c r="B6" i="26"/>
  <c r="B5" i="26"/>
  <c r="R3" i="7"/>
  <c r="R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2" i="7"/>
  <c r="P3" i="7"/>
  <c r="Q3" i="7" s="1"/>
  <c r="P4" i="7"/>
  <c r="Q4" i="7" s="1"/>
  <c r="P5" i="7"/>
  <c r="Q5" i="7" s="1"/>
  <c r="P6" i="7"/>
  <c r="Q6" i="7" s="1"/>
  <c r="P7" i="7"/>
  <c r="Q7" i="7" s="1"/>
  <c r="P8" i="7"/>
  <c r="Q8" i="7" s="1"/>
  <c r="P9" i="7"/>
  <c r="Q9" i="7" s="1"/>
  <c r="P10" i="7"/>
  <c r="Q10" i="7" s="1"/>
  <c r="P11" i="7"/>
  <c r="Q11" i="7" s="1"/>
  <c r="P12" i="7"/>
  <c r="Q12" i="7" s="1"/>
  <c r="P13" i="7"/>
  <c r="Q13" i="7" s="1"/>
  <c r="P14" i="7"/>
  <c r="Q14" i="7" s="1"/>
  <c r="P15" i="7"/>
  <c r="Q15" i="7" s="1"/>
  <c r="P16" i="7"/>
  <c r="Q16" i="7" s="1"/>
  <c r="P17" i="7"/>
  <c r="Q17" i="7" s="1"/>
  <c r="P18" i="7"/>
  <c r="Q18" i="7" s="1"/>
  <c r="P19" i="7"/>
  <c r="Q19" i="7" s="1"/>
  <c r="P20" i="7"/>
  <c r="Q20" i="7" s="1"/>
  <c r="P21" i="7"/>
  <c r="Q21" i="7" s="1"/>
  <c r="P22" i="7"/>
  <c r="Q22" i="7" s="1"/>
  <c r="P23" i="7"/>
  <c r="Q23" i="7" s="1"/>
  <c r="P24" i="7"/>
  <c r="Q24" i="7" s="1"/>
  <c r="P25" i="7"/>
  <c r="Q25" i="7" s="1"/>
  <c r="P26" i="7"/>
  <c r="Q26" i="7" s="1"/>
  <c r="P27" i="7"/>
  <c r="Q27" i="7" s="1"/>
  <c r="P28" i="7"/>
  <c r="Q28" i="7" s="1"/>
  <c r="P29" i="7"/>
  <c r="Q29" i="7" s="1"/>
  <c r="P30" i="7"/>
  <c r="Q30" i="7" s="1"/>
  <c r="P31" i="7"/>
  <c r="Q31" i="7" s="1"/>
  <c r="P32" i="7"/>
  <c r="Q32" i="7" s="1"/>
  <c r="P33" i="7"/>
  <c r="Q33" i="7" s="1"/>
  <c r="P34" i="7"/>
  <c r="Q34" i="7" s="1"/>
  <c r="P35" i="7"/>
  <c r="Q35" i="7" s="1"/>
  <c r="P36" i="7"/>
  <c r="Q36" i="7" s="1"/>
  <c r="P37" i="7"/>
  <c r="Q37" i="7" s="1"/>
  <c r="P38" i="7"/>
  <c r="Q38" i="7" s="1"/>
  <c r="P39" i="7"/>
  <c r="Q39" i="7" s="1"/>
  <c r="P40" i="7"/>
  <c r="Q40" i="7" s="1"/>
  <c r="P41" i="7"/>
  <c r="Q41" i="7" s="1"/>
  <c r="P42" i="7"/>
  <c r="Q42" i="7" s="1"/>
  <c r="P43" i="7"/>
  <c r="Q43" i="7" s="1"/>
  <c r="P44" i="7"/>
  <c r="Q44" i="7" s="1"/>
  <c r="P45" i="7"/>
  <c r="Q45" i="7" s="1"/>
  <c r="P46" i="7"/>
  <c r="Q46" i="7" s="1"/>
  <c r="P47" i="7"/>
  <c r="Q47" i="7" s="1"/>
  <c r="P48" i="7"/>
  <c r="Q48" i="7" s="1"/>
  <c r="P49" i="7"/>
  <c r="Q49" i="7" s="1"/>
  <c r="P50" i="7"/>
  <c r="Q50" i="7" s="1"/>
  <c r="P51" i="7"/>
  <c r="Q51" i="7" s="1"/>
  <c r="P52" i="7"/>
  <c r="Q52" i="7" s="1"/>
  <c r="P53" i="7"/>
  <c r="Q53" i="7" s="1"/>
  <c r="P54" i="7"/>
  <c r="Q54" i="7" s="1"/>
  <c r="P55" i="7"/>
  <c r="Q55" i="7" s="1"/>
  <c r="P56" i="7"/>
  <c r="Q56" i="7" s="1"/>
  <c r="P57" i="7"/>
  <c r="Q57" i="7" s="1"/>
  <c r="P58" i="7"/>
  <c r="Q58" i="7" s="1"/>
  <c r="P59" i="7"/>
  <c r="Q59" i="7" s="1"/>
  <c r="P60" i="7"/>
  <c r="Q60" i="7" s="1"/>
  <c r="P61" i="7"/>
  <c r="Q61" i="7" s="1"/>
  <c r="P62" i="7"/>
  <c r="Q62" i="7" s="1"/>
  <c r="P63" i="7"/>
  <c r="Q63" i="7" s="1"/>
  <c r="P64" i="7"/>
  <c r="Q64" i="7" s="1"/>
  <c r="P65" i="7"/>
  <c r="Q65" i="7" s="1"/>
  <c r="P66" i="7"/>
  <c r="Q66" i="7" s="1"/>
  <c r="P67" i="7"/>
  <c r="Q67" i="7" s="1"/>
  <c r="P68" i="7"/>
  <c r="Q68" i="7" s="1"/>
  <c r="P69" i="7"/>
  <c r="Q69" i="7" s="1"/>
  <c r="P70" i="7"/>
  <c r="Q70" i="7" s="1"/>
  <c r="P71" i="7"/>
  <c r="Q71" i="7" s="1"/>
  <c r="P72" i="7"/>
  <c r="Q72" i="7" s="1"/>
  <c r="P73" i="7"/>
  <c r="Q73" i="7" s="1"/>
  <c r="P74" i="7"/>
  <c r="Q74" i="7" s="1"/>
  <c r="P75" i="7"/>
  <c r="Q75" i="7" s="1"/>
  <c r="P76" i="7"/>
  <c r="Q76" i="7" s="1"/>
  <c r="P77" i="7"/>
  <c r="Q77" i="7" s="1"/>
  <c r="P78" i="7"/>
  <c r="Q78" i="7" s="1"/>
  <c r="P79" i="7"/>
  <c r="Q79" i="7" s="1"/>
  <c r="P80" i="7"/>
  <c r="Q80" i="7" s="1"/>
  <c r="P81" i="7"/>
  <c r="Q81" i="7" s="1"/>
  <c r="P82" i="7"/>
  <c r="Q82" i="7" s="1"/>
  <c r="P83" i="7"/>
  <c r="Q83" i="7" s="1"/>
  <c r="P84" i="7"/>
  <c r="Q84" i="7" s="1"/>
  <c r="P85" i="7"/>
  <c r="Q85" i="7" s="1"/>
  <c r="P86" i="7"/>
  <c r="Q86" i="7" s="1"/>
  <c r="P87" i="7"/>
  <c r="Q87" i="7" s="1"/>
  <c r="P88" i="7"/>
  <c r="Q88" i="7" s="1"/>
  <c r="P89" i="7"/>
  <c r="Q89" i="7" s="1"/>
  <c r="P90" i="7"/>
  <c r="Q90" i="7" s="1"/>
  <c r="P91" i="7"/>
  <c r="Q91" i="7" s="1"/>
  <c r="P92" i="7"/>
  <c r="Q92" i="7" s="1"/>
  <c r="P93" i="7"/>
  <c r="Q93" i="7" s="1"/>
  <c r="P94" i="7"/>
  <c r="Q94" i="7" s="1"/>
  <c r="P95" i="7"/>
  <c r="Q95" i="7" s="1"/>
  <c r="P96" i="7"/>
  <c r="Q96" i="7" s="1"/>
  <c r="P97" i="7"/>
  <c r="Q97" i="7" s="1"/>
  <c r="P98" i="7"/>
  <c r="Q98" i="7" s="1"/>
  <c r="P99" i="7"/>
  <c r="Q99" i="7" s="1"/>
  <c r="P100" i="7"/>
  <c r="Q100" i="7" s="1"/>
  <c r="P2" i="7"/>
  <c r="Q2" i="7" s="1"/>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3" i="7"/>
  <c r="O4" i="7"/>
  <c r="O5" i="7"/>
  <c r="O6" i="7"/>
  <c r="O7" i="7"/>
  <c r="O8" i="7"/>
  <c r="O9" i="7"/>
  <c r="O10" i="7"/>
  <c r="O11" i="7"/>
  <c r="O12" i="7"/>
  <c r="O13" i="7"/>
  <c r="O14" i="7"/>
  <c r="O15" i="7"/>
  <c r="O2" i="7"/>
  <c r="N2" i="11"/>
  <c r="N3" i="11"/>
  <c r="N4" i="1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7" i="11"/>
  <c r="N38" i="11"/>
  <c r="N39" i="11"/>
  <c r="N40" i="11"/>
  <c r="N41" i="11"/>
  <c r="N42" i="11"/>
  <c r="N43" i="11"/>
  <c r="N44" i="11"/>
  <c r="N45" i="11"/>
  <c r="N46" i="11"/>
  <c r="N47" i="11"/>
  <c r="N48" i="11"/>
  <c r="N49"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2" i="11"/>
  <c r="N83" i="11"/>
  <c r="N84" i="11"/>
  <c r="N85" i="11"/>
  <c r="N86" i="11"/>
  <c r="N87" i="11"/>
  <c r="N88" i="11"/>
  <c r="N89" i="11"/>
  <c r="N90" i="11"/>
  <c r="N91" i="11"/>
  <c r="N92" i="11"/>
  <c r="N93" i="11"/>
  <c r="N94" i="11"/>
  <c r="N95" i="11"/>
  <c r="N96" i="11"/>
  <c r="N97" i="11"/>
  <c r="N98" i="11"/>
  <c r="N99" i="11"/>
  <c r="N100" i="11"/>
  <c r="L2" i="11"/>
  <c r="L3" i="11"/>
  <c r="M3" i="11" s="1"/>
  <c r="L4" i="11"/>
  <c r="M4" i="11" s="1"/>
  <c r="L5" i="11"/>
  <c r="M5" i="11" s="1"/>
  <c r="L6" i="11"/>
  <c r="L7" i="11"/>
  <c r="L8" i="11"/>
  <c r="L9" i="11"/>
  <c r="L10" i="11"/>
  <c r="L11" i="11"/>
  <c r="L12" i="11"/>
  <c r="M12" i="11" s="1"/>
  <c r="L13" i="11"/>
  <c r="L14" i="11"/>
  <c r="L15" i="11"/>
  <c r="M15" i="11" s="1"/>
  <c r="L16" i="11"/>
  <c r="L17" i="11"/>
  <c r="M17" i="11" s="1"/>
  <c r="L18" i="11"/>
  <c r="M18" i="11" s="1"/>
  <c r="L19" i="11"/>
  <c r="M19" i="11" s="1"/>
  <c r="L20" i="11"/>
  <c r="M20" i="11" s="1"/>
  <c r="L21" i="11"/>
  <c r="L23" i="11"/>
  <c r="L24" i="11"/>
  <c r="L25" i="11"/>
  <c r="L26" i="11"/>
  <c r="L27" i="11"/>
  <c r="L28" i="11"/>
  <c r="L29" i="11"/>
  <c r="M29" i="11" s="1"/>
  <c r="L30" i="11"/>
  <c r="L31" i="11"/>
  <c r="L32" i="11"/>
  <c r="M32" i="11" s="1"/>
  <c r="L33" i="11"/>
  <c r="L34" i="11"/>
  <c r="L35" i="11"/>
  <c r="M35" i="11" s="1"/>
  <c r="L37" i="11"/>
  <c r="L38" i="11"/>
  <c r="L39" i="11"/>
  <c r="L40" i="11"/>
  <c r="L41" i="11"/>
  <c r="L42" i="11"/>
  <c r="L43" i="11"/>
  <c r="M43" i="11" s="1"/>
  <c r="L44" i="11"/>
  <c r="L45" i="11"/>
  <c r="L46" i="11"/>
  <c r="M46" i="11" s="1"/>
  <c r="L47" i="11"/>
  <c r="L48" i="11"/>
  <c r="L49" i="11"/>
  <c r="M49" i="11" s="1"/>
  <c r="L51" i="11"/>
  <c r="L52" i="11"/>
  <c r="M52" i="11" s="1"/>
  <c r="L53" i="11"/>
  <c r="L54" i="11"/>
  <c r="L55" i="11"/>
  <c r="L56" i="11"/>
  <c r="L57" i="11"/>
  <c r="L58" i="11"/>
  <c r="L59" i="11"/>
  <c r="L60" i="11"/>
  <c r="M60" i="11" s="1"/>
  <c r="L61" i="11"/>
  <c r="L62" i="11"/>
  <c r="L63" i="11"/>
  <c r="M63" i="11" s="1"/>
  <c r="L64" i="11"/>
  <c r="L65" i="11"/>
  <c r="L66" i="11"/>
  <c r="M66" i="11" s="1"/>
  <c r="L67" i="11"/>
  <c r="M67" i="11" s="1"/>
  <c r="L68" i="11"/>
  <c r="L69" i="11"/>
  <c r="L70" i="11"/>
  <c r="L71" i="11"/>
  <c r="L72" i="11"/>
  <c r="L73" i="11"/>
  <c r="L74" i="11"/>
  <c r="L75" i="11"/>
  <c r="L76" i="11"/>
  <c r="L77" i="11"/>
  <c r="M77" i="11" s="1"/>
  <c r="L78" i="11"/>
  <c r="L79" i="11"/>
  <c r="L80" i="11"/>
  <c r="M80" i="11" s="1"/>
  <c r="L81" i="11"/>
  <c r="M81" i="11" s="1"/>
  <c r="L82" i="11"/>
  <c r="L83" i="11"/>
  <c r="M83" i="11" s="1"/>
  <c r="L84" i="11"/>
  <c r="M84" i="11" s="1"/>
  <c r="L85" i="11"/>
  <c r="L86" i="11"/>
  <c r="L87" i="11"/>
  <c r="L88" i="11"/>
  <c r="L89" i="11"/>
  <c r="L90" i="11"/>
  <c r="L91" i="11"/>
  <c r="M91" i="11" s="1"/>
  <c r="L92" i="11"/>
  <c r="L93" i="11"/>
  <c r="L94" i="11"/>
  <c r="M94" i="11" s="1"/>
  <c r="L95" i="11"/>
  <c r="M95" i="11" s="1"/>
  <c r="L96" i="11"/>
  <c r="L97" i="11"/>
  <c r="M97" i="11" s="1"/>
  <c r="L98" i="11"/>
  <c r="M98" i="11" s="1"/>
  <c r="L99" i="11"/>
  <c r="L100" i="11"/>
  <c r="M100" i="11" s="1"/>
  <c r="G2" i="11"/>
  <c r="K100" i="11"/>
  <c r="J100" i="11"/>
  <c r="H100" i="11"/>
  <c r="G100" i="11"/>
  <c r="F100" i="11"/>
  <c r="E100" i="11"/>
  <c r="D100" i="11"/>
  <c r="C100" i="11"/>
  <c r="B100" i="11"/>
  <c r="A100" i="11"/>
  <c r="K99" i="11"/>
  <c r="J99" i="11"/>
  <c r="I99" i="11"/>
  <c r="H99" i="11"/>
  <c r="G99" i="11"/>
  <c r="F99" i="11"/>
  <c r="E99" i="11"/>
  <c r="D99" i="11"/>
  <c r="C99" i="11"/>
  <c r="B99" i="11"/>
  <c r="A99" i="11"/>
  <c r="K98" i="11"/>
  <c r="J98" i="11"/>
  <c r="I98" i="11"/>
  <c r="H98" i="11"/>
  <c r="G98" i="11"/>
  <c r="F98" i="11"/>
  <c r="E98" i="11"/>
  <c r="D98" i="11"/>
  <c r="C98" i="11"/>
  <c r="B98" i="11"/>
  <c r="A98" i="11"/>
  <c r="K97" i="11"/>
  <c r="J97" i="11"/>
  <c r="H97" i="11"/>
  <c r="G97" i="11"/>
  <c r="F97" i="11"/>
  <c r="E97" i="11"/>
  <c r="D97" i="11"/>
  <c r="C97" i="11"/>
  <c r="B97" i="11"/>
  <c r="A97" i="11"/>
  <c r="K96" i="11"/>
  <c r="J96" i="11"/>
  <c r="H96" i="11"/>
  <c r="G96" i="11"/>
  <c r="F96" i="11"/>
  <c r="E96" i="11"/>
  <c r="D96" i="11"/>
  <c r="C96" i="11"/>
  <c r="B96" i="11"/>
  <c r="A96" i="11"/>
  <c r="K95" i="11"/>
  <c r="J95" i="11"/>
  <c r="H95" i="11"/>
  <c r="G95" i="11"/>
  <c r="F95" i="11"/>
  <c r="E95" i="11"/>
  <c r="D95" i="11"/>
  <c r="C95" i="11"/>
  <c r="B95" i="11"/>
  <c r="A95" i="11"/>
  <c r="K94" i="11"/>
  <c r="J94" i="11"/>
  <c r="H94" i="11"/>
  <c r="G94" i="11"/>
  <c r="F94" i="11"/>
  <c r="E94" i="11"/>
  <c r="D94" i="11"/>
  <c r="C94" i="11"/>
  <c r="B94" i="11"/>
  <c r="A94" i="11"/>
  <c r="K93" i="11"/>
  <c r="J93" i="11"/>
  <c r="I93" i="11"/>
  <c r="H93" i="11"/>
  <c r="G93" i="11"/>
  <c r="F93" i="11"/>
  <c r="E93" i="11"/>
  <c r="D93" i="11"/>
  <c r="C93" i="11"/>
  <c r="B93" i="11"/>
  <c r="A93" i="11"/>
  <c r="K92" i="11"/>
  <c r="J92" i="11"/>
  <c r="H92" i="11"/>
  <c r="G92" i="11"/>
  <c r="F92" i="11"/>
  <c r="E92" i="11"/>
  <c r="D92" i="11"/>
  <c r="C92" i="11"/>
  <c r="B92" i="11"/>
  <c r="A92" i="11"/>
  <c r="K91" i="11"/>
  <c r="J91" i="11"/>
  <c r="H91" i="11"/>
  <c r="G91" i="11"/>
  <c r="F91" i="11"/>
  <c r="E91" i="11"/>
  <c r="D91" i="11"/>
  <c r="C91" i="11"/>
  <c r="B91" i="11"/>
  <c r="A91" i="11"/>
  <c r="K90" i="11"/>
  <c r="J90" i="11"/>
  <c r="H90" i="11"/>
  <c r="G90" i="11"/>
  <c r="F90" i="11"/>
  <c r="E90" i="11"/>
  <c r="D90" i="11"/>
  <c r="C90" i="11"/>
  <c r="B90" i="11"/>
  <c r="A90" i="11"/>
  <c r="K89" i="11"/>
  <c r="J89" i="11"/>
  <c r="I89" i="11"/>
  <c r="H89" i="11"/>
  <c r="G89" i="11"/>
  <c r="F89" i="11"/>
  <c r="E89" i="11"/>
  <c r="D89" i="11"/>
  <c r="C89" i="11"/>
  <c r="B89" i="11"/>
  <c r="A89" i="11"/>
  <c r="K88" i="11"/>
  <c r="J88" i="11"/>
  <c r="H88" i="11"/>
  <c r="G88" i="11"/>
  <c r="F88" i="11"/>
  <c r="E88" i="11"/>
  <c r="D88" i="11"/>
  <c r="C88" i="11"/>
  <c r="B88" i="11"/>
  <c r="A88" i="11"/>
  <c r="K87" i="11"/>
  <c r="J87" i="11"/>
  <c r="H87" i="11"/>
  <c r="G87" i="11"/>
  <c r="F87" i="11"/>
  <c r="E87" i="11"/>
  <c r="D87" i="11"/>
  <c r="C87" i="11"/>
  <c r="B87" i="11"/>
  <c r="A87" i="11"/>
  <c r="K86" i="11"/>
  <c r="J86" i="11"/>
  <c r="I86" i="11"/>
  <c r="H86" i="11"/>
  <c r="G86" i="11"/>
  <c r="F86" i="11"/>
  <c r="E86" i="11"/>
  <c r="D86" i="11"/>
  <c r="C86" i="11"/>
  <c r="B86" i="11"/>
  <c r="A86" i="11"/>
  <c r="K85" i="11"/>
  <c r="J85" i="11"/>
  <c r="I85" i="11"/>
  <c r="H85" i="11"/>
  <c r="G85" i="11"/>
  <c r="F85" i="11"/>
  <c r="E85" i="11"/>
  <c r="D85" i="11"/>
  <c r="C85" i="11"/>
  <c r="B85" i="11"/>
  <c r="A85" i="11"/>
  <c r="K84" i="11"/>
  <c r="J84" i="11"/>
  <c r="H84" i="11"/>
  <c r="G84" i="11"/>
  <c r="F84" i="11"/>
  <c r="E84" i="11"/>
  <c r="D84" i="11"/>
  <c r="C84" i="11"/>
  <c r="B84" i="11"/>
  <c r="A84" i="11"/>
  <c r="K83" i="11"/>
  <c r="J83" i="11"/>
  <c r="I83" i="11"/>
  <c r="H83" i="11"/>
  <c r="G83" i="11"/>
  <c r="F83" i="11"/>
  <c r="E83" i="11"/>
  <c r="D83" i="11"/>
  <c r="C83" i="11"/>
  <c r="B83" i="11"/>
  <c r="A83" i="11"/>
  <c r="K82" i="11"/>
  <c r="J82" i="11"/>
  <c r="I82" i="11"/>
  <c r="H82" i="11"/>
  <c r="G82" i="11"/>
  <c r="F82" i="11"/>
  <c r="E82" i="11"/>
  <c r="D82" i="11"/>
  <c r="C82" i="11"/>
  <c r="B82" i="11"/>
  <c r="A82" i="11"/>
  <c r="K81" i="11"/>
  <c r="J81" i="11"/>
  <c r="H81" i="11"/>
  <c r="G81" i="11"/>
  <c r="N81" i="11" s="1"/>
  <c r="F81" i="11"/>
  <c r="E81" i="11"/>
  <c r="D81" i="11"/>
  <c r="C81" i="11"/>
  <c r="B81" i="11"/>
  <c r="A81" i="11"/>
  <c r="K80" i="11"/>
  <c r="J80" i="11"/>
  <c r="H80" i="11"/>
  <c r="G80" i="11"/>
  <c r="F80" i="11"/>
  <c r="E80" i="11"/>
  <c r="D80" i="11"/>
  <c r="C80" i="11"/>
  <c r="B80" i="11"/>
  <c r="A80" i="11"/>
  <c r="K79" i="11"/>
  <c r="J79" i="11"/>
  <c r="H79" i="11"/>
  <c r="G79" i="11"/>
  <c r="F79" i="11"/>
  <c r="E79" i="11"/>
  <c r="D79" i="11"/>
  <c r="C79" i="11"/>
  <c r="B79" i="11"/>
  <c r="A79" i="11"/>
  <c r="K78" i="11"/>
  <c r="J78" i="11"/>
  <c r="H78" i="11"/>
  <c r="G78" i="11"/>
  <c r="F78" i="11"/>
  <c r="E78" i="11"/>
  <c r="D78" i="11"/>
  <c r="C78" i="11"/>
  <c r="B78" i="11"/>
  <c r="A78" i="11"/>
  <c r="K77" i="11"/>
  <c r="J77" i="11"/>
  <c r="I77" i="11"/>
  <c r="H77" i="11"/>
  <c r="G77" i="11"/>
  <c r="F77" i="11"/>
  <c r="E77" i="11"/>
  <c r="D77" i="11"/>
  <c r="C77" i="11"/>
  <c r="B77" i="11"/>
  <c r="A77" i="11"/>
  <c r="K76" i="11"/>
  <c r="J76" i="11"/>
  <c r="H76" i="11"/>
  <c r="G76" i="11"/>
  <c r="F76" i="11"/>
  <c r="E76" i="11"/>
  <c r="D76" i="11"/>
  <c r="C76" i="11"/>
  <c r="B76" i="11"/>
  <c r="A76" i="11"/>
  <c r="K75" i="11"/>
  <c r="J75" i="11"/>
  <c r="H75" i="11"/>
  <c r="G75" i="11"/>
  <c r="F75" i="11"/>
  <c r="E75" i="11"/>
  <c r="D75" i="11"/>
  <c r="C75" i="11"/>
  <c r="B75" i="11"/>
  <c r="A75" i="11"/>
  <c r="K74" i="11"/>
  <c r="J74" i="11"/>
  <c r="H74" i="11"/>
  <c r="G74" i="11"/>
  <c r="F74" i="11"/>
  <c r="E74" i="11"/>
  <c r="D74" i="11"/>
  <c r="C74" i="11"/>
  <c r="B74" i="11"/>
  <c r="A74" i="11"/>
  <c r="K73" i="11"/>
  <c r="J73" i="11"/>
  <c r="I73" i="11"/>
  <c r="H73" i="11"/>
  <c r="G73" i="11"/>
  <c r="F73" i="11"/>
  <c r="E73" i="11"/>
  <c r="D73" i="11"/>
  <c r="C73" i="11"/>
  <c r="B73" i="11"/>
  <c r="A73" i="11"/>
  <c r="K72" i="11"/>
  <c r="J72" i="11"/>
  <c r="H72" i="11"/>
  <c r="G72" i="11"/>
  <c r="F72" i="11"/>
  <c r="E72" i="11"/>
  <c r="D72" i="11"/>
  <c r="C72" i="11"/>
  <c r="B72" i="11"/>
  <c r="A72" i="11"/>
  <c r="K71" i="11"/>
  <c r="J71" i="11"/>
  <c r="H71" i="11"/>
  <c r="G71" i="11"/>
  <c r="F71" i="11"/>
  <c r="E71" i="11"/>
  <c r="D71" i="11"/>
  <c r="C71" i="11"/>
  <c r="B71" i="11"/>
  <c r="A71" i="11"/>
  <c r="K70" i="11"/>
  <c r="J70" i="11"/>
  <c r="I70" i="11"/>
  <c r="H70" i="11"/>
  <c r="G70" i="11"/>
  <c r="F70" i="11"/>
  <c r="E70" i="11"/>
  <c r="D70" i="11"/>
  <c r="C70" i="11"/>
  <c r="B70" i="11"/>
  <c r="A70" i="11"/>
  <c r="K69" i="11"/>
  <c r="J69" i="11"/>
  <c r="I69" i="11"/>
  <c r="H69" i="11"/>
  <c r="G69" i="11"/>
  <c r="F69" i="11"/>
  <c r="E69" i="11"/>
  <c r="D69" i="11"/>
  <c r="C69" i="11"/>
  <c r="B69" i="11"/>
  <c r="A69" i="11"/>
  <c r="K68" i="11"/>
  <c r="J68" i="11"/>
  <c r="H68" i="11"/>
  <c r="G68" i="11"/>
  <c r="F68" i="11"/>
  <c r="E68" i="11"/>
  <c r="D68" i="11"/>
  <c r="C68" i="11"/>
  <c r="B68" i="11"/>
  <c r="A68" i="11"/>
  <c r="K67" i="11"/>
  <c r="J67" i="11"/>
  <c r="I67" i="11"/>
  <c r="H67" i="11"/>
  <c r="G67" i="11"/>
  <c r="F67" i="11"/>
  <c r="E67" i="11"/>
  <c r="D67" i="11"/>
  <c r="C67" i="11"/>
  <c r="B67" i="11"/>
  <c r="A67" i="11"/>
  <c r="K66" i="11"/>
  <c r="J66" i="11"/>
  <c r="I66" i="11"/>
  <c r="H66" i="11"/>
  <c r="G66" i="11"/>
  <c r="F66" i="11"/>
  <c r="E66" i="11"/>
  <c r="D66" i="11"/>
  <c r="C66" i="11"/>
  <c r="B66" i="11"/>
  <c r="A66" i="11"/>
  <c r="K65" i="11"/>
  <c r="J65" i="11"/>
  <c r="H65" i="11"/>
  <c r="G65" i="11"/>
  <c r="F65" i="11"/>
  <c r="E65" i="11"/>
  <c r="D65" i="11"/>
  <c r="C65" i="11"/>
  <c r="B65" i="11"/>
  <c r="A65" i="11"/>
  <c r="K64" i="11"/>
  <c r="J64" i="11"/>
  <c r="H64" i="11"/>
  <c r="G64" i="11"/>
  <c r="F64" i="11"/>
  <c r="E64" i="11"/>
  <c r="D64" i="11"/>
  <c r="C64" i="11"/>
  <c r="B64" i="11"/>
  <c r="A64" i="11"/>
  <c r="K63" i="11"/>
  <c r="J63" i="11"/>
  <c r="H63" i="11"/>
  <c r="G63" i="11"/>
  <c r="F63" i="11"/>
  <c r="E63" i="11"/>
  <c r="D63" i="11"/>
  <c r="C63" i="11"/>
  <c r="B63" i="11"/>
  <c r="A63" i="11"/>
  <c r="K62" i="11"/>
  <c r="J62" i="11"/>
  <c r="H62" i="11"/>
  <c r="G62" i="11"/>
  <c r="F62" i="11"/>
  <c r="E62" i="11"/>
  <c r="D62" i="11"/>
  <c r="C62" i="11"/>
  <c r="B62" i="11"/>
  <c r="A62" i="11"/>
  <c r="K61" i="11"/>
  <c r="J61" i="11"/>
  <c r="I61" i="11"/>
  <c r="H61" i="11"/>
  <c r="G61" i="11"/>
  <c r="F61" i="11"/>
  <c r="E61" i="11"/>
  <c r="D61" i="11"/>
  <c r="C61" i="11"/>
  <c r="B61" i="11"/>
  <c r="A61" i="11"/>
  <c r="K60" i="11"/>
  <c r="J60" i="11"/>
  <c r="H60" i="11"/>
  <c r="G60" i="11"/>
  <c r="F60" i="11"/>
  <c r="E60" i="11"/>
  <c r="D60" i="11"/>
  <c r="C60" i="11"/>
  <c r="B60" i="11"/>
  <c r="A60" i="11"/>
  <c r="K59" i="11"/>
  <c r="J59" i="11"/>
  <c r="H59" i="11"/>
  <c r="G59" i="11"/>
  <c r="F59" i="11"/>
  <c r="E59" i="11"/>
  <c r="D59" i="11"/>
  <c r="C59" i="11"/>
  <c r="B59" i="11"/>
  <c r="A59" i="11"/>
  <c r="K58" i="11"/>
  <c r="J58" i="11"/>
  <c r="H58" i="11"/>
  <c r="G58" i="11"/>
  <c r="F58" i="11"/>
  <c r="E58" i="11"/>
  <c r="D58" i="11"/>
  <c r="C58" i="11"/>
  <c r="B58" i="11"/>
  <c r="A58" i="11"/>
  <c r="K57" i="11"/>
  <c r="J57" i="11"/>
  <c r="I57" i="11"/>
  <c r="H57" i="11"/>
  <c r="G57" i="11"/>
  <c r="F57" i="11"/>
  <c r="E57" i="11"/>
  <c r="D57" i="11"/>
  <c r="C57" i="11"/>
  <c r="B57" i="11"/>
  <c r="A57" i="11"/>
  <c r="K56" i="11"/>
  <c r="J56" i="11"/>
  <c r="H56" i="11"/>
  <c r="G56" i="11"/>
  <c r="F56" i="11"/>
  <c r="E56" i="11"/>
  <c r="D56" i="11"/>
  <c r="C56" i="11"/>
  <c r="B56" i="11"/>
  <c r="A56" i="11"/>
  <c r="K55" i="11"/>
  <c r="J55" i="11"/>
  <c r="H55" i="11"/>
  <c r="G55" i="11"/>
  <c r="F55" i="11"/>
  <c r="E55" i="11"/>
  <c r="D55" i="11"/>
  <c r="C55" i="11"/>
  <c r="B55" i="11"/>
  <c r="A55" i="11"/>
  <c r="K54" i="11"/>
  <c r="J54" i="11"/>
  <c r="I54" i="11"/>
  <c r="H54" i="11"/>
  <c r="G54" i="11"/>
  <c r="F54" i="11"/>
  <c r="E54" i="11"/>
  <c r="D54" i="11"/>
  <c r="C54" i="11"/>
  <c r="B54" i="11"/>
  <c r="A54" i="11"/>
  <c r="K53" i="11"/>
  <c r="J53" i="11"/>
  <c r="I53" i="11"/>
  <c r="H53" i="11"/>
  <c r="G53" i="11"/>
  <c r="F53" i="11"/>
  <c r="E53" i="11"/>
  <c r="D53" i="11"/>
  <c r="C53" i="11"/>
  <c r="B53" i="11"/>
  <c r="A53" i="11"/>
  <c r="K52" i="11"/>
  <c r="J52" i="11"/>
  <c r="H52" i="11"/>
  <c r="G52" i="11"/>
  <c r="F52" i="11"/>
  <c r="E52" i="11"/>
  <c r="D52" i="11"/>
  <c r="C52" i="11"/>
  <c r="B52" i="11"/>
  <c r="A52" i="11"/>
  <c r="K51" i="11"/>
  <c r="J51" i="11"/>
  <c r="I51" i="11"/>
  <c r="H51" i="11"/>
  <c r="G51" i="11"/>
  <c r="F51" i="11"/>
  <c r="E51" i="11"/>
  <c r="D51" i="11"/>
  <c r="C51" i="11"/>
  <c r="B51" i="11"/>
  <c r="A51" i="11"/>
  <c r="K50" i="11"/>
  <c r="J50" i="11"/>
  <c r="I50" i="11"/>
  <c r="H50" i="11"/>
  <c r="G50" i="11"/>
  <c r="N50" i="11" s="1"/>
  <c r="F50" i="11"/>
  <c r="E50" i="11"/>
  <c r="D50" i="11"/>
  <c r="C50" i="11"/>
  <c r="B50" i="11"/>
  <c r="A50" i="11"/>
  <c r="K49" i="11"/>
  <c r="J49" i="11"/>
  <c r="H49" i="11"/>
  <c r="G49" i="11"/>
  <c r="F49" i="11"/>
  <c r="E49" i="11"/>
  <c r="D49" i="11"/>
  <c r="C49" i="11"/>
  <c r="B49" i="11"/>
  <c r="A49" i="11"/>
  <c r="K48" i="11"/>
  <c r="J48" i="11"/>
  <c r="H48" i="11"/>
  <c r="G48" i="11"/>
  <c r="F48" i="11"/>
  <c r="E48" i="11"/>
  <c r="D48" i="11"/>
  <c r="C48" i="11"/>
  <c r="B48" i="11"/>
  <c r="A48" i="11"/>
  <c r="K47" i="11"/>
  <c r="J47" i="11"/>
  <c r="H47" i="11"/>
  <c r="G47" i="11"/>
  <c r="F47" i="11"/>
  <c r="E47" i="11"/>
  <c r="D47" i="11"/>
  <c r="C47" i="11"/>
  <c r="B47" i="11"/>
  <c r="A47" i="11"/>
  <c r="K46" i="11"/>
  <c r="J46" i="11"/>
  <c r="H46" i="11"/>
  <c r="G46" i="11"/>
  <c r="F46" i="11"/>
  <c r="E46" i="11"/>
  <c r="D46" i="11"/>
  <c r="C46" i="11"/>
  <c r="B46" i="11"/>
  <c r="A46" i="11"/>
  <c r="K45" i="11"/>
  <c r="J45" i="11"/>
  <c r="I45" i="11"/>
  <c r="H45" i="11"/>
  <c r="G45" i="11"/>
  <c r="F45" i="11"/>
  <c r="E45" i="11"/>
  <c r="D45" i="11"/>
  <c r="C45" i="11"/>
  <c r="B45" i="11"/>
  <c r="A45" i="11"/>
  <c r="K44" i="11"/>
  <c r="J44" i="11"/>
  <c r="H44" i="11"/>
  <c r="G44" i="11"/>
  <c r="F44" i="11"/>
  <c r="E44" i="11"/>
  <c r="D44" i="11"/>
  <c r="C44" i="11"/>
  <c r="B44" i="11"/>
  <c r="A44" i="11"/>
  <c r="K43" i="11"/>
  <c r="J43" i="11"/>
  <c r="H43" i="11"/>
  <c r="G43" i="11"/>
  <c r="F43" i="11"/>
  <c r="E43" i="11"/>
  <c r="D43" i="11"/>
  <c r="C43" i="11"/>
  <c r="B43" i="11"/>
  <c r="A43" i="11"/>
  <c r="K42" i="11"/>
  <c r="J42" i="11"/>
  <c r="H42" i="11"/>
  <c r="G42" i="11"/>
  <c r="F42" i="11"/>
  <c r="E42" i="11"/>
  <c r="D42" i="11"/>
  <c r="C42" i="11"/>
  <c r="B42" i="11"/>
  <c r="A42" i="11"/>
  <c r="K41" i="11"/>
  <c r="J41" i="11"/>
  <c r="I41" i="11"/>
  <c r="H41" i="11"/>
  <c r="G41" i="11"/>
  <c r="F41" i="11"/>
  <c r="E41" i="11"/>
  <c r="D41" i="11"/>
  <c r="C41" i="11"/>
  <c r="B41" i="11"/>
  <c r="A41" i="11"/>
  <c r="K40" i="11"/>
  <c r="J40" i="11"/>
  <c r="H40" i="11"/>
  <c r="G40" i="11"/>
  <c r="F40" i="11"/>
  <c r="E40" i="11"/>
  <c r="D40" i="11"/>
  <c r="C40" i="11"/>
  <c r="B40" i="11"/>
  <c r="A40" i="11"/>
  <c r="K39" i="11"/>
  <c r="J39" i="11"/>
  <c r="H39" i="11"/>
  <c r="G39" i="11"/>
  <c r="F39" i="11"/>
  <c r="E39" i="11"/>
  <c r="D39" i="11"/>
  <c r="C39" i="11"/>
  <c r="B39" i="11"/>
  <c r="A39" i="11"/>
  <c r="K38" i="11"/>
  <c r="J38" i="11"/>
  <c r="I38" i="11"/>
  <c r="H38" i="11"/>
  <c r="G38" i="11"/>
  <c r="F38" i="11"/>
  <c r="E38" i="11"/>
  <c r="D38" i="11"/>
  <c r="C38" i="11"/>
  <c r="B38" i="11"/>
  <c r="A38" i="11"/>
  <c r="K37" i="11"/>
  <c r="J37" i="11"/>
  <c r="I37" i="11"/>
  <c r="H37" i="11"/>
  <c r="G37" i="11"/>
  <c r="F37" i="11"/>
  <c r="E37" i="11"/>
  <c r="D37" i="11"/>
  <c r="C37" i="11"/>
  <c r="B37" i="11"/>
  <c r="A37" i="11"/>
  <c r="K36" i="11"/>
  <c r="J36" i="11"/>
  <c r="H36" i="11"/>
  <c r="G36" i="11"/>
  <c r="N36" i="11" s="1"/>
  <c r="F36" i="11"/>
  <c r="E36" i="11"/>
  <c r="D36" i="11"/>
  <c r="C36" i="11"/>
  <c r="B36" i="11"/>
  <c r="A36" i="11"/>
  <c r="K35" i="11"/>
  <c r="J35" i="11"/>
  <c r="I35" i="11"/>
  <c r="H35" i="11"/>
  <c r="G35" i="11"/>
  <c r="F35" i="11"/>
  <c r="E35" i="11"/>
  <c r="D35" i="11"/>
  <c r="C35" i="11"/>
  <c r="B35" i="11"/>
  <c r="A35" i="11"/>
  <c r="K34" i="11"/>
  <c r="J34" i="11"/>
  <c r="I34" i="11"/>
  <c r="H34" i="11"/>
  <c r="G34" i="11"/>
  <c r="F34" i="11"/>
  <c r="E34" i="11"/>
  <c r="D34" i="11"/>
  <c r="C34" i="11"/>
  <c r="B34" i="11"/>
  <c r="A34" i="11"/>
  <c r="K33" i="11"/>
  <c r="J33" i="11"/>
  <c r="H33" i="11"/>
  <c r="G33" i="11"/>
  <c r="F33" i="11"/>
  <c r="E33" i="11"/>
  <c r="D33" i="11"/>
  <c r="C33" i="11"/>
  <c r="B33" i="11"/>
  <c r="A33" i="11"/>
  <c r="K32" i="11"/>
  <c r="J32" i="11"/>
  <c r="H32" i="11"/>
  <c r="G32" i="11"/>
  <c r="F32" i="11"/>
  <c r="E32" i="11"/>
  <c r="D32" i="11"/>
  <c r="C32" i="11"/>
  <c r="B32" i="11"/>
  <c r="A32" i="11"/>
  <c r="K31" i="11"/>
  <c r="J31" i="11"/>
  <c r="H31" i="11"/>
  <c r="G31" i="11"/>
  <c r="F31" i="11"/>
  <c r="E31" i="11"/>
  <c r="D31" i="11"/>
  <c r="C31" i="11"/>
  <c r="B31" i="11"/>
  <c r="A31" i="11"/>
  <c r="K30" i="11"/>
  <c r="J30" i="11"/>
  <c r="H30" i="11"/>
  <c r="G30" i="11"/>
  <c r="F30" i="11"/>
  <c r="E30" i="11"/>
  <c r="D30" i="11"/>
  <c r="C30" i="11"/>
  <c r="B30" i="11"/>
  <c r="A30" i="11"/>
  <c r="K29" i="11"/>
  <c r="J29" i="11"/>
  <c r="I29" i="11"/>
  <c r="H29" i="11"/>
  <c r="G29" i="11"/>
  <c r="F29" i="11"/>
  <c r="E29" i="11"/>
  <c r="D29" i="11"/>
  <c r="C29" i="11"/>
  <c r="B29" i="11"/>
  <c r="A29" i="11"/>
  <c r="K28" i="11"/>
  <c r="J28" i="11"/>
  <c r="H28" i="11"/>
  <c r="G28" i="11"/>
  <c r="F28" i="11"/>
  <c r="E28" i="11"/>
  <c r="D28" i="11"/>
  <c r="C28" i="11"/>
  <c r="B28" i="11"/>
  <c r="A28" i="11"/>
  <c r="K27" i="11"/>
  <c r="J27" i="11"/>
  <c r="H27" i="11"/>
  <c r="G27" i="11"/>
  <c r="F27" i="11"/>
  <c r="E27" i="11"/>
  <c r="D27" i="11"/>
  <c r="C27" i="11"/>
  <c r="B27" i="11"/>
  <c r="A27" i="11"/>
  <c r="K26" i="11"/>
  <c r="J26" i="11"/>
  <c r="H26" i="11"/>
  <c r="G26" i="11"/>
  <c r="F26" i="11"/>
  <c r="E26" i="11"/>
  <c r="D26" i="11"/>
  <c r="C26" i="11"/>
  <c r="B26" i="11"/>
  <c r="A26" i="11"/>
  <c r="K25" i="11"/>
  <c r="J25" i="11"/>
  <c r="I25" i="11"/>
  <c r="H25" i="11"/>
  <c r="G25" i="11"/>
  <c r="F25" i="11"/>
  <c r="E25" i="11"/>
  <c r="D25" i="11"/>
  <c r="C25" i="11"/>
  <c r="B25" i="11"/>
  <c r="A25" i="11"/>
  <c r="K24" i="11"/>
  <c r="J24" i="11"/>
  <c r="H24" i="11"/>
  <c r="G24" i="11"/>
  <c r="F24" i="11"/>
  <c r="E24" i="11"/>
  <c r="D24" i="11"/>
  <c r="C24" i="11"/>
  <c r="B24" i="11"/>
  <c r="A24" i="11"/>
  <c r="K23" i="11"/>
  <c r="J23" i="11"/>
  <c r="H23" i="11"/>
  <c r="G23" i="11"/>
  <c r="F23" i="11"/>
  <c r="E23" i="11"/>
  <c r="D23" i="11"/>
  <c r="C23" i="11"/>
  <c r="B23" i="11"/>
  <c r="A23" i="11"/>
  <c r="K22" i="11"/>
  <c r="J22" i="11"/>
  <c r="I22" i="11"/>
  <c r="H22" i="11"/>
  <c r="L22" i="11"/>
  <c r="F22" i="11"/>
  <c r="E22" i="11"/>
  <c r="D22" i="11"/>
  <c r="C22" i="11"/>
  <c r="B22" i="11"/>
  <c r="A22" i="11"/>
  <c r="K21" i="11"/>
  <c r="J21" i="11"/>
  <c r="I21" i="11"/>
  <c r="H21" i="11"/>
  <c r="G21" i="11"/>
  <c r="F21" i="11"/>
  <c r="E21" i="11"/>
  <c r="D21" i="11"/>
  <c r="C21" i="11"/>
  <c r="B21" i="11"/>
  <c r="A21" i="11"/>
  <c r="K20" i="11"/>
  <c r="J20" i="11"/>
  <c r="H20" i="11"/>
  <c r="G20" i="11"/>
  <c r="F20" i="11"/>
  <c r="E20" i="11"/>
  <c r="D20" i="11"/>
  <c r="C20" i="11"/>
  <c r="B20" i="11"/>
  <c r="A20" i="11"/>
  <c r="K19" i="11"/>
  <c r="J19" i="11"/>
  <c r="I19" i="11"/>
  <c r="H19" i="11"/>
  <c r="G19" i="11"/>
  <c r="F19" i="11"/>
  <c r="E19" i="11"/>
  <c r="D19" i="11"/>
  <c r="C19" i="11"/>
  <c r="B19" i="11"/>
  <c r="A19" i="11"/>
  <c r="K18" i="11"/>
  <c r="J18" i="11"/>
  <c r="I18" i="11"/>
  <c r="H18" i="11"/>
  <c r="G18" i="11"/>
  <c r="F18" i="11"/>
  <c r="E18" i="11"/>
  <c r="D18" i="11"/>
  <c r="C18" i="11"/>
  <c r="B18" i="11"/>
  <c r="A18" i="11"/>
  <c r="K17" i="11"/>
  <c r="J17" i="11"/>
  <c r="H17" i="11"/>
  <c r="G17" i="11"/>
  <c r="F17" i="11"/>
  <c r="E17" i="11"/>
  <c r="D17" i="11"/>
  <c r="C17" i="11"/>
  <c r="B17" i="11"/>
  <c r="A17" i="11"/>
  <c r="K16" i="11"/>
  <c r="J16" i="11"/>
  <c r="H16" i="11"/>
  <c r="G16" i="11"/>
  <c r="F16" i="11"/>
  <c r="E16" i="11"/>
  <c r="D16" i="11"/>
  <c r="C16" i="11"/>
  <c r="B16" i="11"/>
  <c r="A16" i="11"/>
  <c r="K15" i="11"/>
  <c r="J15" i="11"/>
  <c r="H15" i="11"/>
  <c r="G15" i="11"/>
  <c r="F15" i="11"/>
  <c r="E15" i="11"/>
  <c r="D15" i="11"/>
  <c r="C15" i="11"/>
  <c r="B15" i="11"/>
  <c r="A15" i="11"/>
  <c r="K14" i="11"/>
  <c r="J14" i="11"/>
  <c r="H14" i="11"/>
  <c r="G14" i="11"/>
  <c r="F14" i="11"/>
  <c r="E14" i="11"/>
  <c r="D14" i="11"/>
  <c r="C14" i="11"/>
  <c r="B14" i="11"/>
  <c r="A14" i="11"/>
  <c r="K13" i="11"/>
  <c r="J13" i="11"/>
  <c r="I13" i="11"/>
  <c r="H13" i="11"/>
  <c r="G13" i="11"/>
  <c r="F13" i="11"/>
  <c r="E13" i="11"/>
  <c r="D13" i="11"/>
  <c r="C13" i="11"/>
  <c r="B13" i="11"/>
  <c r="A13" i="11"/>
  <c r="K12" i="11"/>
  <c r="J12" i="11"/>
  <c r="H12" i="11"/>
  <c r="G12" i="11"/>
  <c r="F12" i="11"/>
  <c r="E12" i="11"/>
  <c r="D12" i="11"/>
  <c r="C12" i="11"/>
  <c r="B12" i="11"/>
  <c r="A12" i="11"/>
  <c r="K11" i="11"/>
  <c r="J11" i="11"/>
  <c r="H11" i="11"/>
  <c r="G11" i="11"/>
  <c r="F11" i="11"/>
  <c r="E11" i="11"/>
  <c r="D11" i="11"/>
  <c r="C11" i="11"/>
  <c r="B11" i="11"/>
  <c r="A11" i="11"/>
  <c r="K10" i="11"/>
  <c r="J10" i="11"/>
  <c r="H10" i="11"/>
  <c r="G10" i="11"/>
  <c r="F10" i="11"/>
  <c r="E10" i="11"/>
  <c r="D10" i="11"/>
  <c r="C10" i="11"/>
  <c r="B10" i="11"/>
  <c r="A10" i="11"/>
  <c r="K9" i="11"/>
  <c r="J9" i="11"/>
  <c r="I9" i="11"/>
  <c r="H9" i="11"/>
  <c r="G9" i="11"/>
  <c r="F9" i="11"/>
  <c r="E9" i="11"/>
  <c r="D9" i="11"/>
  <c r="C9" i="11"/>
  <c r="B9" i="11"/>
  <c r="A9" i="11"/>
  <c r="K8" i="11"/>
  <c r="J8" i="11"/>
  <c r="H8" i="11"/>
  <c r="G8" i="11"/>
  <c r="F8" i="11"/>
  <c r="E8" i="11"/>
  <c r="D8" i="11"/>
  <c r="C8" i="11"/>
  <c r="B8" i="11"/>
  <c r="A8" i="11"/>
  <c r="K7" i="11"/>
  <c r="J7" i="11"/>
  <c r="H7" i="11"/>
  <c r="G7" i="11"/>
  <c r="F7" i="11"/>
  <c r="E7" i="11"/>
  <c r="D7" i="11"/>
  <c r="C7" i="11"/>
  <c r="B7" i="11"/>
  <c r="A7" i="11"/>
  <c r="K6" i="11"/>
  <c r="J6" i="11"/>
  <c r="I6" i="11"/>
  <c r="H6" i="11"/>
  <c r="G6" i="11"/>
  <c r="F6" i="11"/>
  <c r="E6" i="11"/>
  <c r="D6" i="11"/>
  <c r="C6" i="11"/>
  <c r="B6" i="11"/>
  <c r="A6" i="11"/>
  <c r="K5" i="11"/>
  <c r="J5" i="11"/>
  <c r="I5" i="11"/>
  <c r="H5" i="11"/>
  <c r="G5" i="11"/>
  <c r="F5" i="11"/>
  <c r="E5" i="11"/>
  <c r="D5" i="11"/>
  <c r="C5" i="11"/>
  <c r="B5" i="11"/>
  <c r="A5" i="11"/>
  <c r="K4" i="11"/>
  <c r="J4" i="11"/>
  <c r="H4" i="11"/>
  <c r="G4" i="11"/>
  <c r="F4" i="11"/>
  <c r="E4" i="11"/>
  <c r="D4" i="11"/>
  <c r="C4" i="11"/>
  <c r="B4" i="11"/>
  <c r="A4" i="11"/>
  <c r="K3" i="11"/>
  <c r="J3" i="11"/>
  <c r="I3" i="11"/>
  <c r="H3" i="11"/>
  <c r="G3" i="11"/>
  <c r="F3" i="11"/>
  <c r="E3" i="11"/>
  <c r="D3" i="11"/>
  <c r="C3" i="11"/>
  <c r="B3" i="11"/>
  <c r="A3" i="11"/>
  <c r="K2" i="11"/>
  <c r="J2" i="11"/>
  <c r="I2" i="11"/>
  <c r="H2" i="11"/>
  <c r="F2" i="11"/>
  <c r="E2" i="11"/>
  <c r="D2" i="11"/>
  <c r="C2" i="11"/>
  <c r="B2" i="11"/>
  <c r="A2" i="11"/>
  <c r="L3" i="7"/>
  <c r="L4" i="7"/>
  <c r="I4" i="11" s="1"/>
  <c r="L5" i="7"/>
  <c r="L6" i="7"/>
  <c r="L7" i="7"/>
  <c r="I7" i="11" s="1"/>
  <c r="L8" i="7"/>
  <c r="I8" i="11" s="1"/>
  <c r="L9" i="7"/>
  <c r="L10" i="7"/>
  <c r="I10" i="11" s="1"/>
  <c r="L11" i="7"/>
  <c r="I11" i="11" s="1"/>
  <c r="L12" i="7"/>
  <c r="I12" i="11" s="1"/>
  <c r="L13" i="7"/>
  <c r="L14" i="7"/>
  <c r="I14" i="11" s="1"/>
  <c r="L15" i="7"/>
  <c r="I15" i="11" s="1"/>
  <c r="L16" i="7"/>
  <c r="I16" i="11" s="1"/>
  <c r="L17" i="7"/>
  <c r="I17" i="11" s="1"/>
  <c r="L18" i="7"/>
  <c r="L19" i="7"/>
  <c r="L20" i="7"/>
  <c r="I20" i="11" s="1"/>
  <c r="L21" i="7"/>
  <c r="L22" i="7"/>
  <c r="L23" i="7"/>
  <c r="I23" i="11" s="1"/>
  <c r="L24" i="7"/>
  <c r="I24" i="11" s="1"/>
  <c r="L25" i="7"/>
  <c r="L26" i="7"/>
  <c r="I26" i="11" s="1"/>
  <c r="L27" i="7"/>
  <c r="I27" i="11" s="1"/>
  <c r="L28" i="7"/>
  <c r="I28" i="11" s="1"/>
  <c r="L29" i="7"/>
  <c r="L30" i="7"/>
  <c r="I30" i="11" s="1"/>
  <c r="L31" i="7"/>
  <c r="I31" i="11" s="1"/>
  <c r="L32" i="7"/>
  <c r="I32" i="11" s="1"/>
  <c r="L33" i="7"/>
  <c r="I33" i="11" s="1"/>
  <c r="L34" i="7"/>
  <c r="L35" i="7"/>
  <c r="L36" i="7"/>
  <c r="I36" i="11" s="1"/>
  <c r="L37" i="7"/>
  <c r="L38" i="7"/>
  <c r="L39" i="7"/>
  <c r="I39" i="11" s="1"/>
  <c r="L40" i="7"/>
  <c r="I40" i="11" s="1"/>
  <c r="L41" i="7"/>
  <c r="L42" i="7"/>
  <c r="I42" i="11" s="1"/>
  <c r="L43" i="7"/>
  <c r="I43" i="11" s="1"/>
  <c r="L44" i="7"/>
  <c r="I44" i="11" s="1"/>
  <c r="L45" i="7"/>
  <c r="L46" i="7"/>
  <c r="I46" i="11" s="1"/>
  <c r="L47" i="7"/>
  <c r="I47" i="11" s="1"/>
  <c r="L48" i="7"/>
  <c r="I48" i="11" s="1"/>
  <c r="L49" i="7"/>
  <c r="I49" i="11" s="1"/>
  <c r="L50" i="7"/>
  <c r="L51" i="7"/>
  <c r="L52" i="7"/>
  <c r="I52" i="11" s="1"/>
  <c r="L53" i="7"/>
  <c r="L54" i="7"/>
  <c r="L55" i="7"/>
  <c r="I55" i="11" s="1"/>
  <c r="L56" i="7"/>
  <c r="I56" i="11" s="1"/>
  <c r="L57" i="7"/>
  <c r="L58" i="7"/>
  <c r="I58" i="11" s="1"/>
  <c r="L59" i="7"/>
  <c r="I59" i="11" s="1"/>
  <c r="L60" i="7"/>
  <c r="I60" i="11" s="1"/>
  <c r="L61" i="7"/>
  <c r="L62" i="7"/>
  <c r="I62" i="11" s="1"/>
  <c r="L63" i="7"/>
  <c r="I63" i="11" s="1"/>
  <c r="L64" i="7"/>
  <c r="I64" i="11" s="1"/>
  <c r="L65" i="7"/>
  <c r="I65" i="11" s="1"/>
  <c r="L66" i="7"/>
  <c r="L67" i="7"/>
  <c r="L68" i="7"/>
  <c r="I68" i="11" s="1"/>
  <c r="L69" i="7"/>
  <c r="L70" i="7"/>
  <c r="L71" i="7"/>
  <c r="I71" i="11" s="1"/>
  <c r="L72" i="7"/>
  <c r="I72" i="11" s="1"/>
  <c r="L73" i="7"/>
  <c r="L74" i="7"/>
  <c r="I74" i="11" s="1"/>
  <c r="L75" i="7"/>
  <c r="I75" i="11" s="1"/>
  <c r="L76" i="7"/>
  <c r="I76" i="11" s="1"/>
  <c r="L77" i="7"/>
  <c r="L78" i="7"/>
  <c r="I78" i="11" s="1"/>
  <c r="L79" i="7"/>
  <c r="I79" i="11" s="1"/>
  <c r="L80" i="7"/>
  <c r="I80" i="11" s="1"/>
  <c r="L81" i="7"/>
  <c r="I81" i="11" s="1"/>
  <c r="L82" i="7"/>
  <c r="L83" i="7"/>
  <c r="L84" i="7"/>
  <c r="I84" i="11" s="1"/>
  <c r="L85" i="7"/>
  <c r="L86" i="7"/>
  <c r="L87" i="7"/>
  <c r="I87" i="11" s="1"/>
  <c r="L88" i="7"/>
  <c r="I88" i="11" s="1"/>
  <c r="L89" i="7"/>
  <c r="L90" i="7"/>
  <c r="I90" i="11" s="1"/>
  <c r="L91" i="7"/>
  <c r="I91" i="11" s="1"/>
  <c r="L92" i="7"/>
  <c r="I92" i="11" s="1"/>
  <c r="L93" i="7"/>
  <c r="L94" i="7"/>
  <c r="I94" i="11" s="1"/>
  <c r="L95" i="7"/>
  <c r="I95" i="11" s="1"/>
  <c r="L96" i="7"/>
  <c r="I96" i="11" s="1"/>
  <c r="L97" i="7"/>
  <c r="I97" i="11" s="1"/>
  <c r="L98" i="7"/>
  <c r="L99" i="7"/>
  <c r="L100" i="7"/>
  <c r="I100" i="11" s="1"/>
  <c r="L2" i="7"/>
  <c r="L50" i="11" l="1"/>
  <c r="M50" i="11" s="1"/>
  <c r="L36" i="11"/>
  <c r="M36" i="11" s="1"/>
  <c r="M69" i="11"/>
  <c r="M51" i="11"/>
  <c r="M7" i="11"/>
  <c r="M24" i="11"/>
  <c r="M38" i="11"/>
  <c r="M21" i="11"/>
  <c r="M10" i="11"/>
  <c r="M27" i="11"/>
  <c r="M44" i="11"/>
  <c r="M58" i="11"/>
  <c r="M55" i="11"/>
  <c r="M72" i="11"/>
  <c r="M41" i="11"/>
  <c r="M86" i="11"/>
  <c r="M61" i="11"/>
  <c r="M89" i="11"/>
  <c r="M75" i="11"/>
  <c r="M92" i="11"/>
  <c r="M26" i="11"/>
  <c r="M9" i="11"/>
  <c r="M6" i="11"/>
  <c r="M23" i="11"/>
  <c r="M40" i="11"/>
  <c r="M37" i="11"/>
  <c r="M54" i="11"/>
  <c r="M68" i="11"/>
  <c r="M85" i="11"/>
  <c r="M99" i="11"/>
  <c r="M57" i="11"/>
  <c r="M74" i="11"/>
  <c r="M71" i="11"/>
  <c r="M88" i="11"/>
  <c r="M2" i="11"/>
  <c r="M31" i="11"/>
  <c r="M14" i="11"/>
  <c r="M28" i="11"/>
  <c r="M82" i="11"/>
  <c r="M79" i="11"/>
  <c r="M96" i="11"/>
  <c r="M34" i="11"/>
  <c r="M48" i="11"/>
  <c r="M65" i="11"/>
  <c r="M11" i="11"/>
  <c r="M8" i="11"/>
  <c r="M45" i="11"/>
  <c r="M62" i="11"/>
  <c r="M25" i="11"/>
  <c r="M42" i="11"/>
  <c r="M59" i="11"/>
  <c r="M76" i="11"/>
  <c r="M16" i="11"/>
  <c r="M22" i="11"/>
  <c r="M33" i="11"/>
  <c r="M39" i="11"/>
  <c r="M56" i="11"/>
  <c r="M64" i="11"/>
  <c r="M93" i="11"/>
  <c r="M53" i="11"/>
  <c r="M73" i="11"/>
  <c r="M90" i="11"/>
  <c r="M13" i="11"/>
  <c r="M30" i="11"/>
  <c r="M47" i="11"/>
  <c r="M70" i="11"/>
  <c r="M78" i="11"/>
  <c r="M87"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D03D80-ECB5-4A1A-A6C9-C477E02EC37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44BE19E-363C-4C59-B229-E771FFCB4C11}" name="WorksheetConnection_CLEAN_DATA!$A$1:$K$100" type="102" refreshedVersion="8" minRefreshableVersion="5">
    <extLst>
      <ext xmlns:x15="http://schemas.microsoft.com/office/spreadsheetml/2010/11/main" uri="{DE250136-89BD-433C-8126-D09CA5730AF9}">
        <x15:connection id="Range 1" autoDelete="1">
          <x15:rangePr sourceName="_xlcn.WorksheetConnection_CLEAN_DATAA1K100"/>
        </x15:connection>
      </ext>
    </extLst>
  </connection>
  <connection id="3" xr16:uid="{E703D4D5-639B-4F6D-B18A-96EF6F8569B7}" name="WorksheetConnection_RAW_DATA!$A$1:$Q$101" type="102" refreshedVersion="8" minRefreshableVersion="5">
    <extLst>
      <ext xmlns:x15="http://schemas.microsoft.com/office/spreadsheetml/2010/11/main" uri="{DE250136-89BD-433C-8126-D09CA5730AF9}">
        <x15:connection id="Range 2" autoDelete="1">
          <x15:rangePr sourceName="_xlcn.WorksheetConnection_RAW_DATAA1Q101"/>
        </x15:connection>
      </ext>
    </extLst>
  </connection>
  <connection id="4" xr16:uid="{BED6912B-E56F-4C05-B1B5-5EC11129F451}" name="WorksheetConnection_RAW_DATA!$D$1:$R$100" type="102" refreshedVersion="8" minRefreshableVersion="5">
    <extLst>
      <ext xmlns:x15="http://schemas.microsoft.com/office/spreadsheetml/2010/11/main" uri="{DE250136-89BD-433C-8126-D09CA5730AF9}">
        <x15:connection id="Range 3" autoDelete="1">
          <x15:rangePr sourceName="_xlcn.WorksheetConnection_RAW_DATAD1R100"/>
        </x15:connection>
      </ext>
    </extLst>
  </connection>
  <connection id="5" xr16:uid="{8C56F38D-ADDA-4CB5-A7A8-356CB58208BF}" name="WorksheetConnection_Sheet2!$P$1:$Z$100" type="102" refreshedVersion="8" minRefreshableVersion="5">
    <extLst>
      <ext xmlns:x15="http://schemas.microsoft.com/office/spreadsheetml/2010/11/main" uri="{DE250136-89BD-433C-8126-D09CA5730AF9}">
        <x15:connection id="Range" autoDelete="1">
          <x15:rangePr sourceName="_xlcn.WorksheetConnection_Sheet2P1Z100"/>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Range 2].[PAYMENT].&amp;,[Range 2].[PAYMENT].&amp;[Pending]}"/>
  </metadataStrings>
  <mdxMetadata count="1">
    <mdx n="0" f="s">
      <ms ns="1" c="0"/>
    </mdx>
  </mdxMetadata>
  <valueMetadata count="1">
    <bk>
      <rc t="1" v="0"/>
    </bk>
  </valueMetadata>
</metadata>
</file>

<file path=xl/sharedStrings.xml><?xml version="1.0" encoding="utf-8"?>
<sst xmlns="http://schemas.openxmlformats.org/spreadsheetml/2006/main" count="1023" uniqueCount="319">
  <si>
    <t>Sum of TOTAL_COST</t>
  </si>
  <si>
    <t>Column Labels</t>
  </si>
  <si>
    <t>Row Labels</t>
  </si>
  <si>
    <t>Paid</t>
  </si>
  <si>
    <t>Pending</t>
  </si>
  <si>
    <t>Grand Total</t>
  </si>
  <si>
    <t>Cardiology</t>
  </si>
  <si>
    <t>General</t>
  </si>
  <si>
    <t>Neurology</t>
  </si>
  <si>
    <t>Orthopedics</t>
  </si>
  <si>
    <t>Pediatrics</t>
  </si>
  <si>
    <t>UNKNOWN</t>
  </si>
  <si>
    <t>PAYMENT</t>
  </si>
  <si>
    <t>(Multiple Items)</t>
  </si>
  <si>
    <t>61+ days overdue</t>
  </si>
  <si>
    <t>Monthly Revenew</t>
  </si>
  <si>
    <t>Patients Per Doctor</t>
  </si>
  <si>
    <t xml:space="preserve">Payment Satus </t>
  </si>
  <si>
    <t>Patient Details</t>
  </si>
  <si>
    <t>ENTER PATIENT ID:</t>
  </si>
  <si>
    <t>P1003</t>
  </si>
  <si>
    <t>PATIENT NAME</t>
  </si>
  <si>
    <t>AGE</t>
  </si>
  <si>
    <t>SEX</t>
  </si>
  <si>
    <t>DEPERTMENT</t>
  </si>
  <si>
    <t>ASSIGNED DOCTOR</t>
  </si>
  <si>
    <t>ADMISSION DATE</t>
  </si>
  <si>
    <t>ID</t>
  </si>
  <si>
    <t>NAME</t>
  </si>
  <si>
    <t>DEPARTMENT</t>
  </si>
  <si>
    <t>DOCTOR_NAME</t>
  </si>
  <si>
    <t>ADMIT_DATE</t>
  </si>
  <si>
    <t>DISCHARGE_DATE</t>
  </si>
  <si>
    <t>TREATMENT_COST</t>
  </si>
  <si>
    <t>MEDICINE_COST</t>
  </si>
  <si>
    <t>ROOM_COST</t>
  </si>
  <si>
    <t>TOTAL_COST</t>
  </si>
  <si>
    <t>INSURANCE</t>
  </si>
  <si>
    <t>CURRENT_STATUS</t>
  </si>
  <si>
    <t>DAYS_OUTSTANDING</t>
  </si>
  <si>
    <t>AGING_BUCKET</t>
  </si>
  <si>
    <t>LOS</t>
  </si>
  <si>
    <t>P1002</t>
  </si>
  <si>
    <t>Rahul</t>
  </si>
  <si>
    <t>N/A</t>
  </si>
  <si>
    <t>Male</t>
  </si>
  <si>
    <t>Dr. Ghosh</t>
  </si>
  <si>
    <t>24-06-2025</t>
  </si>
  <si>
    <t>28-06-2025</t>
  </si>
  <si>
    <t>No</t>
  </si>
  <si>
    <t>Kiran</t>
  </si>
  <si>
    <t>Dr. Sen</t>
  </si>
  <si>
    <t>03-05-2025</t>
  </si>
  <si>
    <t>04-05-2025</t>
  </si>
  <si>
    <t>Yes</t>
  </si>
  <si>
    <t>P1004</t>
  </si>
  <si>
    <t>Dr. Das</t>
  </si>
  <si>
    <t>07-12-2025</t>
  </si>
  <si>
    <t>14-12-2025</t>
  </si>
  <si>
    <t>P1005</t>
  </si>
  <si>
    <t>Neha</t>
  </si>
  <si>
    <t>29-03-2025</t>
  </si>
  <si>
    <t>04-04-2025</t>
  </si>
  <si>
    <t>P1006</t>
  </si>
  <si>
    <t>Rohit</t>
  </si>
  <si>
    <t>Female</t>
  </si>
  <si>
    <t>10-09-2025</t>
  </si>
  <si>
    <t>20-09-2025</t>
  </si>
  <si>
    <t>P1007</t>
  </si>
  <si>
    <t xml:space="preserve">Rohit </t>
  </si>
  <si>
    <t>Dr. Khan</t>
  </si>
  <si>
    <t>03-02-2025</t>
  </si>
  <si>
    <t>05-02-2025</t>
  </si>
  <si>
    <t xml:space="preserve">Rahul </t>
  </si>
  <si>
    <t>Dr. Roy</t>
  </si>
  <si>
    <t>14-06-2025</t>
  </si>
  <si>
    <t>22-06-2025</t>
  </si>
  <si>
    <t>P1009</t>
  </si>
  <si>
    <t xml:space="preserve">Priya </t>
  </si>
  <si>
    <t>16-08-2025</t>
  </si>
  <si>
    <t>P1010</t>
  </si>
  <si>
    <t xml:space="preserve">Arjun </t>
  </si>
  <si>
    <t>25-10-2025</t>
  </si>
  <si>
    <t>29-10-2025</t>
  </si>
  <si>
    <t>P1011</t>
  </si>
  <si>
    <t>Arjun</t>
  </si>
  <si>
    <t>03-01-2025</t>
  </si>
  <si>
    <t>06-01-2025</t>
  </si>
  <si>
    <t>P1012</t>
  </si>
  <si>
    <t>30-10-2025</t>
  </si>
  <si>
    <t>02-11-2025</t>
  </si>
  <si>
    <t>P1013</t>
  </si>
  <si>
    <t>25-06-2025</t>
  </si>
  <si>
    <t>02-07-2025</t>
  </si>
  <si>
    <t>P1014</t>
  </si>
  <si>
    <t xml:space="preserve">Sneha </t>
  </si>
  <si>
    <t>27-09-2025</t>
  </si>
  <si>
    <t>28-09-2025</t>
  </si>
  <si>
    <t>P1015</t>
  </si>
  <si>
    <t>05-03-2025</t>
  </si>
  <si>
    <t>08-03-2025</t>
  </si>
  <si>
    <t>P1016</t>
  </si>
  <si>
    <t>08-12-2025</t>
  </si>
  <si>
    <t>17-12-2025</t>
  </si>
  <si>
    <t xml:space="preserve"> </t>
  </si>
  <si>
    <t>P1017</t>
  </si>
  <si>
    <t>29-11-2025</t>
  </si>
  <si>
    <t>03-12-2025</t>
  </si>
  <si>
    <t>P1018</t>
  </si>
  <si>
    <t>19-05-2025</t>
  </si>
  <si>
    <t>24-05-2025</t>
  </si>
  <si>
    <t>P1019</t>
  </si>
  <si>
    <t>Sneha</t>
  </si>
  <si>
    <t>05-07-2025</t>
  </si>
  <si>
    <t>P1020</t>
  </si>
  <si>
    <t>19-06-2025</t>
  </si>
  <si>
    <t>P1021</t>
  </si>
  <si>
    <t>15-01-2025</t>
  </si>
  <si>
    <t>18-01-2025</t>
  </si>
  <si>
    <t>P1022</t>
  </si>
  <si>
    <t>18-09-2025</t>
  </si>
  <si>
    <t>P1023</t>
  </si>
  <si>
    <t>02-09-2025</t>
  </si>
  <si>
    <t>11-09-2025</t>
  </si>
  <si>
    <t>P1024</t>
  </si>
  <si>
    <t>12-03-2025</t>
  </si>
  <si>
    <t>14-03-2025</t>
  </si>
  <si>
    <t>P1025</t>
  </si>
  <si>
    <t>10-02-2025</t>
  </si>
  <si>
    <t>P1026</t>
  </si>
  <si>
    <t>Ananya</t>
  </si>
  <si>
    <t>11-11-2025</t>
  </si>
  <si>
    <t>18-11-2025</t>
  </si>
  <si>
    <t>P1027</t>
  </si>
  <si>
    <t>15-11-2025</t>
  </si>
  <si>
    <t>22-11-2025</t>
  </si>
  <si>
    <t>22-12-2025</t>
  </si>
  <si>
    <t>23-12-2025</t>
  </si>
  <si>
    <t>P1029</t>
  </si>
  <si>
    <t>08-02-2025</t>
  </si>
  <si>
    <t>09-02-2025</t>
  </si>
  <si>
    <t>P1030</t>
  </si>
  <si>
    <t>22-05-2025</t>
  </si>
  <si>
    <t>26-05-2025</t>
  </si>
  <si>
    <t>P1031</t>
  </si>
  <si>
    <t>13-05-2025</t>
  </si>
  <si>
    <t>15-05-2025</t>
  </si>
  <si>
    <t>P1032</t>
  </si>
  <si>
    <t>30-09-2025</t>
  </si>
  <si>
    <t>P1033</t>
  </si>
  <si>
    <t>11-10-2025</t>
  </si>
  <si>
    <t>P1034</t>
  </si>
  <si>
    <t>01-01-2026</t>
  </si>
  <si>
    <t>08-01-2026</t>
  </si>
  <si>
    <t>P1035</t>
  </si>
  <si>
    <t>19-02-2025</t>
  </si>
  <si>
    <t>20-02-2025</t>
  </si>
  <si>
    <t>Priya</t>
  </si>
  <si>
    <t>01-06-2025</t>
  </si>
  <si>
    <t>P1037</t>
  </si>
  <si>
    <t>26-01-2025</t>
  </si>
  <si>
    <t>02-02-2025</t>
  </si>
  <si>
    <t>P1038</t>
  </si>
  <si>
    <t>04-07-2025</t>
  </si>
  <si>
    <t>10-07-2025</t>
  </si>
  <si>
    <t>P1039</t>
  </si>
  <si>
    <t xml:space="preserve">Neha </t>
  </si>
  <si>
    <t>11-07-2025</t>
  </si>
  <si>
    <t>P1040</t>
  </si>
  <si>
    <t>23-09-2025</t>
  </si>
  <si>
    <t>P1041</t>
  </si>
  <si>
    <t>17-05-2025</t>
  </si>
  <si>
    <t>23-05-2025</t>
  </si>
  <si>
    <t>P1042</t>
  </si>
  <si>
    <t>01-03-2025</t>
  </si>
  <si>
    <t>10-03-2025</t>
  </si>
  <si>
    <t>P1043</t>
  </si>
  <si>
    <t>27-06-2025</t>
  </si>
  <si>
    <t>P1044</t>
  </si>
  <si>
    <t>11-08-2025</t>
  </si>
  <si>
    <t>20-08-2025</t>
  </si>
  <si>
    <t>P1045</t>
  </si>
  <si>
    <t>27-08-2025</t>
  </si>
  <si>
    <t>31-08-2025</t>
  </si>
  <si>
    <t xml:space="preserve">Ananya </t>
  </si>
  <si>
    <t>06-09-2025</t>
  </si>
  <si>
    <t>P1047</t>
  </si>
  <si>
    <t>05-12-2025</t>
  </si>
  <si>
    <t>13-12-2025</t>
  </si>
  <si>
    <t>P1048</t>
  </si>
  <si>
    <t>25-09-2025</t>
  </si>
  <si>
    <t>03-10-2025</t>
  </si>
  <si>
    <t>P1049</t>
  </si>
  <si>
    <t>31-05-2025</t>
  </si>
  <si>
    <t>06-06-2025</t>
  </si>
  <si>
    <t>P1050</t>
  </si>
  <si>
    <t>25-05-2025</t>
  </si>
  <si>
    <t>P1051</t>
  </si>
  <si>
    <t>17-04-2025</t>
  </si>
  <si>
    <t>20-04-2025</t>
  </si>
  <si>
    <t>P1053</t>
  </si>
  <si>
    <t>05-08-2025</t>
  </si>
  <si>
    <t>P1054</t>
  </si>
  <si>
    <t>21-11-2025</t>
  </si>
  <si>
    <t>P1055</t>
  </si>
  <si>
    <t>15-06-2025</t>
  </si>
  <si>
    <t>18-06-2025</t>
  </si>
  <si>
    <t>11-03-2025</t>
  </si>
  <si>
    <t>P1057</t>
  </si>
  <si>
    <t>20-07-2025</t>
  </si>
  <si>
    <t>25-07-2025</t>
  </si>
  <si>
    <t>P1058</t>
  </si>
  <si>
    <t>P1059</t>
  </si>
  <si>
    <t>02-08-2025</t>
  </si>
  <si>
    <t>06-08-2025</t>
  </si>
  <si>
    <t>P1060</t>
  </si>
  <si>
    <t>09-05-2025</t>
  </si>
  <si>
    <t>18-05-2025</t>
  </si>
  <si>
    <t>P1061</t>
  </si>
  <si>
    <t>P1062</t>
  </si>
  <si>
    <t>07-08-2025</t>
  </si>
  <si>
    <t>09-08-2025</t>
  </si>
  <si>
    <t>P1063</t>
  </si>
  <si>
    <t>21-05-2025</t>
  </si>
  <si>
    <t>P1064</t>
  </si>
  <si>
    <t>11-02-2025</t>
  </si>
  <si>
    <t>P1065</t>
  </si>
  <si>
    <t>14-08-2025</t>
  </si>
  <si>
    <t>23-08-2025</t>
  </si>
  <si>
    <t>P1066</t>
  </si>
  <si>
    <t>12-10-2025</t>
  </si>
  <si>
    <t>13-10-2025</t>
  </si>
  <si>
    <t>P1067</t>
  </si>
  <si>
    <t>16-11-2025</t>
  </si>
  <si>
    <t>24-11-2025</t>
  </si>
  <si>
    <t>P1068</t>
  </si>
  <si>
    <t>22-10-2025</t>
  </si>
  <si>
    <t>26-10-2025</t>
  </si>
  <si>
    <t>P1069</t>
  </si>
  <si>
    <t>01-12-2025</t>
  </si>
  <si>
    <t>10-12-2025</t>
  </si>
  <si>
    <t>P1070</t>
  </si>
  <si>
    <t>P1071</t>
  </si>
  <si>
    <t xml:space="preserve">Kiran </t>
  </si>
  <si>
    <t>27-11-2025</t>
  </si>
  <si>
    <t>P1072</t>
  </si>
  <si>
    <t>07-07-2025</t>
  </si>
  <si>
    <t>P1073</t>
  </si>
  <si>
    <t>14-01-2025</t>
  </si>
  <si>
    <t>P1074</t>
  </si>
  <si>
    <t>21-10-2025</t>
  </si>
  <si>
    <t>23-10-2025</t>
  </si>
  <si>
    <t>P1075</t>
  </si>
  <si>
    <t>28-01-2025</t>
  </si>
  <si>
    <t>P1076</t>
  </si>
  <si>
    <t>20-11-2025</t>
  </si>
  <si>
    <t>P1077</t>
  </si>
  <si>
    <t>25-04-2025</t>
  </si>
  <si>
    <t>05-05-2025</t>
  </si>
  <si>
    <t>P1078</t>
  </si>
  <si>
    <t>25-01-2025</t>
  </si>
  <si>
    <t>P1079</t>
  </si>
  <si>
    <t>P1080</t>
  </si>
  <si>
    <t>20-06-2025</t>
  </si>
  <si>
    <t>P1081</t>
  </si>
  <si>
    <t>25-02-2025</t>
  </si>
  <si>
    <t>P1082</t>
  </si>
  <si>
    <t>15-09-2025</t>
  </si>
  <si>
    <t>P1083</t>
  </si>
  <si>
    <t>07-03-2025</t>
  </si>
  <si>
    <t>09-03-2025</t>
  </si>
  <si>
    <t>P1084</t>
  </si>
  <si>
    <t>16-12-2025</t>
  </si>
  <si>
    <t>P1085</t>
  </si>
  <si>
    <t>12-06-2025</t>
  </si>
  <si>
    <t>P1086</t>
  </si>
  <si>
    <t>23-06-2025</t>
  </si>
  <si>
    <t>03-07-2025</t>
  </si>
  <si>
    <t>P1087</t>
  </si>
  <si>
    <t>16-06-2025</t>
  </si>
  <si>
    <t>P1088</t>
  </si>
  <si>
    <t>16-03-2025</t>
  </si>
  <si>
    <t>P1089</t>
  </si>
  <si>
    <t>06-04-2025</t>
  </si>
  <si>
    <t>13-04-2025</t>
  </si>
  <si>
    <t>P1090</t>
  </si>
  <si>
    <t>P1091</t>
  </si>
  <si>
    <t>P1092</t>
  </si>
  <si>
    <t>25-08-2025</t>
  </si>
  <si>
    <t>30-08-2025</t>
  </si>
  <si>
    <t>P1093</t>
  </si>
  <si>
    <t>04-12-2025</t>
  </si>
  <si>
    <t>P1094</t>
  </si>
  <si>
    <t>04-02-2025</t>
  </si>
  <si>
    <t>28-12-2025</t>
  </si>
  <si>
    <t>04-01-2026</t>
  </si>
  <si>
    <t>P1096</t>
  </si>
  <si>
    <t>24-10-2025</t>
  </si>
  <si>
    <t>P1097</t>
  </si>
  <si>
    <t>23-01-2025</t>
  </si>
  <si>
    <t>31-01-2025</t>
  </si>
  <si>
    <t>P1098</t>
  </si>
  <si>
    <t>02-01-2026</t>
  </si>
  <si>
    <t>P1099</t>
  </si>
  <si>
    <t>P1100</t>
  </si>
  <si>
    <t>26-12-2025</t>
  </si>
  <si>
    <t xml:space="preserve">  </t>
  </si>
  <si>
    <t>Average of LOS</t>
  </si>
  <si>
    <t>(blank)</t>
  </si>
  <si>
    <t>Enter New Patient</t>
  </si>
  <si>
    <t>DOCTOR</t>
  </si>
  <si>
    <t>srtd</t>
  </si>
  <si>
    <t>Other</t>
  </si>
  <si>
    <t>ara</t>
  </si>
  <si>
    <t>AC</t>
  </si>
  <si>
    <t>AD</t>
  </si>
  <si>
    <t>Count of ID</t>
  </si>
  <si>
    <t>Hospital Patient Billing Management System</t>
  </si>
  <si>
    <t>Hospital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</si>
</sst>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7">
    <font>
      <sz val="11"/>
      <color theme="1"/>
      <name val="Calibri"/>
      <family val="2"/>
      <scheme val="minor"/>
    </font>
    <font>
      <b/>
      <sz val="11"/>
      <color theme="1"/>
      <name val="Calibri"/>
      <family val="2"/>
      <scheme val="minor"/>
    </font>
    <font>
      <b/>
      <sz val="48"/>
      <color theme="0"/>
      <name val="Calibri"/>
      <family val="2"/>
      <scheme val="minor"/>
    </font>
    <font>
      <b/>
      <sz val="36"/>
      <color theme="0"/>
      <name val="Calibri"/>
      <family val="2"/>
      <scheme val="minor"/>
    </font>
    <font>
      <sz val="22"/>
      <color theme="0"/>
      <name val="Calibri"/>
      <family val="2"/>
      <scheme val="minor"/>
    </font>
    <font>
      <b/>
      <sz val="26"/>
      <color theme="0"/>
      <name val="Calibri"/>
      <family val="2"/>
      <scheme val="minor"/>
    </font>
    <font>
      <b/>
      <sz val="22"/>
      <color theme="0"/>
      <name val="Calibri"/>
      <family val="2"/>
      <scheme val="minor"/>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3"/>
        <bgColor indexed="64"/>
      </patternFill>
    </fill>
    <fill>
      <patternFill patternType="solid">
        <fgColor theme="3" tint="0.39997558519241921"/>
        <bgColor indexed="64"/>
      </patternFill>
    </fill>
  </fills>
  <borders count="8">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37">
    <xf numFmtId="0" fontId="0" fillId="0" borderId="0" xfId="0"/>
    <xf numFmtId="0" fontId="0" fillId="2" borderId="1" xfId="0" applyFill="1" applyBorder="1"/>
    <xf numFmtId="0" fontId="0" fillId="2" borderId="2" xfId="0" applyFill="1" applyBorder="1"/>
    <xf numFmtId="0" fontId="0" fillId="3" borderId="1" xfId="0" applyFill="1" applyBorder="1"/>
    <xf numFmtId="0" fontId="0" fillId="3" borderId="2" xfId="0" applyFill="1" applyBorder="1"/>
    <xf numFmtId="0" fontId="0" fillId="2" borderId="3" xfId="0" applyFill="1" applyBorder="1"/>
    <xf numFmtId="0" fontId="0" fillId="3" borderId="3" xfId="0" applyFill="1" applyBorder="1"/>
    <xf numFmtId="0" fontId="0" fillId="0" borderId="0" xfId="0" applyAlignment="1">
      <alignment horizontal="left"/>
    </xf>
    <xf numFmtId="0" fontId="0" fillId="0" borderId="0" xfId="0" pivotButton="1"/>
    <xf numFmtId="164" fontId="0" fillId="0" borderId="0" xfId="0" applyNumberFormat="1"/>
    <xf numFmtId="2" fontId="0" fillId="0" borderId="0" xfId="0" applyNumberFormat="1"/>
    <xf numFmtId="1" fontId="0" fillId="0" borderId="0" xfId="0" applyNumberFormat="1"/>
    <xf numFmtId="14" fontId="0" fillId="2" borderId="2" xfId="0" applyNumberFormat="1" applyFill="1" applyBorder="1"/>
    <xf numFmtId="14" fontId="0" fillId="3" borderId="2" xfId="0" applyNumberFormat="1" applyFill="1" applyBorder="1"/>
    <xf numFmtId="0" fontId="0" fillId="0" borderId="4" xfId="0" applyBorder="1"/>
    <xf numFmtId="14" fontId="0" fillId="0" borderId="4" xfId="0" applyNumberFormat="1" applyBorder="1"/>
    <xf numFmtId="0" fontId="1" fillId="0" borderId="4" xfId="0" applyFont="1" applyBorder="1"/>
    <xf numFmtId="0" fontId="0" fillId="5" borderId="0" xfId="0" applyFill="1"/>
    <xf numFmtId="0" fontId="0" fillId="0" borderId="0" xfId="0" applyAlignment="1">
      <alignment horizontal="center"/>
    </xf>
    <xf numFmtId="14" fontId="0" fillId="0" borderId="0" xfId="0" applyNumberFormat="1" applyAlignment="1">
      <alignment horizontal="center"/>
    </xf>
    <xf numFmtId="0" fontId="0" fillId="0" borderId="0" xfId="0" applyAlignment="1">
      <alignment horizontal="center"/>
    </xf>
    <xf numFmtId="0" fontId="0" fillId="0" borderId="0" xfId="0"/>
    <xf numFmtId="0" fontId="0" fillId="0" borderId="0" xfId="0" applyNumberFormat="1"/>
    <xf numFmtId="0" fontId="2" fillId="5" borderId="0" xfId="0" applyFont="1" applyFill="1" applyAlignment="1">
      <alignment horizontal="center"/>
    </xf>
    <xf numFmtId="0" fontId="0" fillId="5" borderId="0" xfId="0"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6" fillId="5" borderId="0" xfId="0" applyFont="1" applyFill="1" applyAlignment="1">
      <alignment horizontal="center"/>
    </xf>
    <xf numFmtId="0" fontId="0" fillId="0" borderId="5" xfId="0" applyBorder="1" applyAlignment="1">
      <alignment horizontal="center"/>
    </xf>
    <xf numFmtId="0" fontId="0" fillId="0" borderId="6" xfId="0" applyBorder="1" applyAlignment="1">
      <alignment horizontal="center"/>
    </xf>
    <xf numFmtId="0" fontId="4" fillId="5" borderId="0" xfId="0" applyFont="1" applyFill="1" applyAlignment="1">
      <alignment horizontal="center"/>
    </xf>
    <xf numFmtId="0" fontId="0" fillId="5" borderId="7" xfId="0" applyFill="1" applyBorder="1" applyAlignment="1">
      <alignment horizontal="center"/>
    </xf>
    <xf numFmtId="0" fontId="0" fillId="0" borderId="0" xfId="0" applyAlignment="1">
      <alignment horizontal="center"/>
    </xf>
    <xf numFmtId="0" fontId="5" fillId="5" borderId="7" xfId="0" applyFont="1" applyFill="1" applyBorder="1" applyAlignment="1">
      <alignment horizontal="center"/>
    </xf>
    <xf numFmtId="0" fontId="3" fillId="4" borderId="0" xfId="0" applyFont="1" applyFill="1" applyAlignment="1">
      <alignment horizontal="center"/>
    </xf>
    <xf numFmtId="0" fontId="0" fillId="4" borderId="0" xfId="0" applyFill="1" applyAlignment="1">
      <alignment horizontal="center"/>
    </xf>
    <xf numFmtId="0" fontId="0" fillId="0" borderId="0" xfId="0" applyAlignment="1"/>
  </cellXfs>
  <cellStyles count="1">
    <cellStyle name="Normal" xfId="0" builtinId="0"/>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7/relationships/slicerCache" Target="slicerCaches/slicerCache5.xml"/><Relationship Id="rId21" Type="http://schemas.openxmlformats.org/officeDocument/2006/relationships/pivotCacheDefinition" Target="pivotCache/pivotCacheDefinition7.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4.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2.xml"/><Relationship Id="rId28" Type="http://schemas.microsoft.com/office/2007/relationships/slicerCache" Target="slicerCaches/slicerCache7.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[Hospital_Patient_Billing_Management_System.xlsm]Sheet5!PivotTable2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Sheet5!$B$3:$B$4</c:f>
              <c:strCache>
                <c:ptCount val="1"/>
                <c:pt idx="0">
                  <c:v>Paid</c:v>
                </c:pt>
              </c:strCache>
            </c:strRef>
          </c:tx>
          <c:spPr>
            <a:solidFill>
              <a:schemeClr val="accent1"/>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Sheet5!$B$5:$B$11</c:f>
              <c:numCache>
                <c:formatCode>General</c:formatCode>
                <c:ptCount val="6"/>
                <c:pt idx="0">
                  <c:v>44802</c:v>
                </c:pt>
                <c:pt idx="1">
                  <c:v>121346</c:v>
                </c:pt>
                <c:pt idx="2">
                  <c:v>230084</c:v>
                </c:pt>
                <c:pt idx="3">
                  <c:v>298180</c:v>
                </c:pt>
                <c:pt idx="4">
                  <c:v>201638</c:v>
                </c:pt>
                <c:pt idx="5">
                  <c:v>83798</c:v>
                </c:pt>
              </c:numCache>
            </c:numRef>
          </c:val>
          <c:extLst>
            <c:ext xmlns:c16="http://schemas.microsoft.com/office/drawing/2014/chart" uri="{C3380CC4-5D6E-409C-BE32-E72D297353CC}">
              <c16:uniqueId val="{00000000-FC19-4C52-A535-FD59C66A9064}"/>
            </c:ext>
          </c:extLst>
        </c:ser>
        <c:ser>
          <c:idx val="1"/>
          <c:order val="1"/>
          <c:tx>
            <c:strRef>
              <c:f>Sheet5!$C$3:$C$4</c:f>
              <c:strCache>
                <c:ptCount val="1"/>
                <c:pt idx="0">
                  <c:v>Pending</c:v>
                </c:pt>
              </c:strCache>
            </c:strRef>
          </c:tx>
          <c:spPr>
            <a:solidFill>
              <a:schemeClr val="accent2"/>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Sheet5!$C$5:$C$11</c:f>
              <c:numCache>
                <c:formatCode>General</c:formatCode>
                <c:ptCount val="6"/>
                <c:pt idx="0">
                  <c:v>58899</c:v>
                </c:pt>
                <c:pt idx="1">
                  <c:v>311016</c:v>
                </c:pt>
                <c:pt idx="2">
                  <c:v>141979</c:v>
                </c:pt>
                <c:pt idx="3">
                  <c:v>89221</c:v>
                </c:pt>
                <c:pt idx="4">
                  <c:v>263991</c:v>
                </c:pt>
              </c:numCache>
            </c:numRef>
          </c:val>
          <c:extLst>
            <c:ext xmlns:c16="http://schemas.microsoft.com/office/drawing/2014/chart" uri="{C3380CC4-5D6E-409C-BE32-E72D297353CC}">
              <c16:uniqueId val="{00000001-FC19-4C52-A535-FD59C66A9064}"/>
            </c:ext>
          </c:extLst>
        </c:ser>
        <c:dLbls>
          <c:showLegendKey val="0"/>
          <c:showVal val="0"/>
          <c:showCatName val="0"/>
          <c:showSerName val="0"/>
          <c:showPercent val="0"/>
          <c:showBubbleSize val="0"/>
        </c:dLbls>
        <c:gapWidth val="150"/>
        <c:shape val="box"/>
        <c:axId val="1708852400"/>
        <c:axId val="1708852880"/>
        <c:axId val="0"/>
      </c:bar3DChart>
      <c:catAx>
        <c:axId val="1708852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880"/>
        <c:crosses val="autoZero"/>
        <c:auto val="1"/>
        <c:lblAlgn val="ctr"/>
        <c:lblOffset val="100"/>
        <c:noMultiLvlLbl val="0"/>
      </c:catAx>
      <c:valAx>
        <c:axId val="170885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[Hospital_Patient_Billing_Management_System.xlsm]Sheet4!PivotTable2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Sheet4!$B$3</c:f>
              <c:strCache>
                <c:ptCount val="1"/>
                <c:pt idx="0">
                  <c:v>Total</c:v>
                </c:pt>
              </c:strCache>
            </c:strRef>
          </c:tx>
          <c:spPr>
            <a:solidFill>
              <a:schemeClr val="accent1"/>
            </a:solidFill>
            <a:ln>
              <a:noFill/>
            </a:ln>
            <a:effectLst/>
            <a:sp3d/>
          </c:spPr>
          <c:invertIfNegative val="0"/>
          <c:cat>
            <c:strRef>
              <c:f>Sheet4!$A$4:$A$5</c:f>
              <c:strCache>
                <c:ptCount val="1"/>
                <c:pt idx="0">
                  <c:v>61+ days overdue</c:v>
                </c:pt>
              </c:strCache>
            </c:strRef>
          </c:cat>
          <c:val>
            <c:numRef>
              <c:f>Sheet4!$B$4:$B$5</c:f>
              <c:numCache>
                <c:formatCode>"₹"\ #,##0.00</c:formatCode>
                <c:ptCount val="1"/>
                <c:pt idx="0">
                  <c:v>496283</c:v>
                </c:pt>
              </c:numCache>
            </c:numRef>
          </c:val>
          <c:extLst>
            <c:ext xmlns:c16="http://schemas.microsoft.com/office/drawing/2014/chart" uri="{C3380CC4-5D6E-409C-BE32-E72D297353CC}">
              <c16:uniqueId val="{00000000-B17B-4318-8637-2DC78B097043}"/>
            </c:ext>
          </c:extLst>
        </c:ser>
        <c:dLbls>
          <c:showLegendKey val="0"/>
          <c:showVal val="0"/>
          <c:showCatName val="0"/>
          <c:showSerName val="0"/>
          <c:showPercent val="0"/>
          <c:showBubbleSize val="0"/>
        </c:dLbls>
        <c:gapWidth val="150"/>
        <c:shape val="box"/>
        <c:axId val="1828899488"/>
        <c:axId val="1828899968"/>
        <c:axId val="0"/>
      </c:bar3DChart>
      <c:catAx>
        <c:axId val="18288994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968"/>
        <c:crosses val="autoZero"/>
        <c:auto val="1"/>
        <c:lblAlgn val="ctr"/>
        <c:lblOffset val="100"/>
        <c:noMultiLvlLbl val="0"/>
      </c:catAx>
      <c:valAx>
        <c:axId val="18288999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[Hospital_Patient_Billing_Management_System.xlsm]Sheet5!PivotTable2</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154248869709301"/>
          <c:y val="0.20933871151422978"/>
          <c:w val="0.60107158605951894"/>
          <c:h val="0.28832229410273646"/>
        </c:manualLayout>
      </c:layout>
      <c:bar3DChart>
        <c:barDir val="col"/>
        <c:grouping val="stacked"/>
        <c:varyColors val="0"/>
        <c:ser>
          <c:idx val="0"/>
          <c:order val="0"/>
          <c:tx>
            <c:strRef>
              <c:f>Sheet5!$B$3:$B$4</c:f>
              <c:strCache>
                <c:ptCount val="1"/>
                <c:pt idx="0">
                  <c:v>Paid</c:v>
                </c:pt>
              </c:strCache>
            </c:strRef>
          </c:tx>
          <c:spPr>
            <a:solidFill>
              <a:schemeClr val="accent1"/>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Sheet5!$B$5:$B$11</c:f>
              <c:numCache>
                <c:formatCode>General</c:formatCode>
                <c:ptCount val="6"/>
                <c:pt idx="0">
                  <c:v>44802</c:v>
                </c:pt>
                <c:pt idx="1">
                  <c:v>121346</c:v>
                </c:pt>
                <c:pt idx="2">
                  <c:v>230084</c:v>
                </c:pt>
                <c:pt idx="3">
                  <c:v>298180</c:v>
                </c:pt>
                <c:pt idx="4">
                  <c:v>201638</c:v>
                </c:pt>
                <c:pt idx="5">
                  <c:v>83798</c:v>
                </c:pt>
              </c:numCache>
            </c:numRef>
          </c:val>
          <c:extLst>
            <c:ext xmlns:c16="http://schemas.microsoft.com/office/drawing/2014/chart" uri="{C3380CC4-5D6E-409C-BE32-E72D297353CC}">
              <c16:uniqueId val="{00000000-76C1-4AE8-8582-CAADE100BE27}"/>
            </c:ext>
          </c:extLst>
        </c:ser>
        <c:ser>
          <c:idx val="1"/>
          <c:order val="1"/>
          <c:tx>
            <c:strRef>
              <c:f>Sheet5!$C$3:$C$4</c:f>
              <c:strCache>
                <c:ptCount val="1"/>
                <c:pt idx="0">
                  <c:v>Pending</c:v>
                </c:pt>
              </c:strCache>
            </c:strRef>
          </c:tx>
          <c:spPr>
            <a:solidFill>
              <a:schemeClr val="accent2"/>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Sheet5!$C$5:$C$11</c:f>
              <c:numCache>
                <c:formatCode>General</c:formatCode>
                <c:ptCount val="6"/>
                <c:pt idx="0">
                  <c:v>58899</c:v>
                </c:pt>
                <c:pt idx="1">
                  <c:v>311016</c:v>
                </c:pt>
                <c:pt idx="2">
                  <c:v>141979</c:v>
                </c:pt>
                <c:pt idx="3">
                  <c:v>89221</c:v>
                </c:pt>
                <c:pt idx="4">
                  <c:v>263991</c:v>
                </c:pt>
              </c:numCache>
            </c:numRef>
          </c:val>
          <c:extLst>
            <c:ext xmlns:c16="http://schemas.microsoft.com/office/drawing/2014/chart" uri="{C3380CC4-5D6E-409C-BE32-E72D297353CC}">
              <c16:uniqueId val="{00000001-76C1-4AE8-8582-CAADE100BE27}"/>
            </c:ext>
          </c:extLst>
        </c:ser>
        <c:dLbls>
          <c:showLegendKey val="0"/>
          <c:showVal val="0"/>
          <c:showCatName val="0"/>
          <c:showSerName val="0"/>
          <c:showPercent val="0"/>
          <c:showBubbleSize val="0"/>
        </c:dLbls>
        <c:gapWidth val="150"/>
        <c:shape val="box"/>
        <c:axId val="1708852400"/>
        <c:axId val="1708852880"/>
        <c:axId val="0"/>
      </c:bar3DChart>
      <c:catAx>
        <c:axId val="1708852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880"/>
        <c:crosses val="autoZero"/>
        <c:auto val="1"/>
        <c:lblAlgn val="ctr"/>
        <c:lblOffset val="100"/>
        <c:noMultiLvlLbl val="0"/>
      </c:catAx>
      <c:valAx>
        <c:axId val="170885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[Hospital_Patient_Billing_Management_System.xlsm]Sheet7!PivotTable3</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3455251921565105"/>
          <c:y val="0.22822884111099953"/>
          <c:w val="0.44434143343181809"/>
          <c:h val="0.2942554375265915"/>
        </c:manualLayout>
      </c:layout>
      <c:bar3DChart>
        <c:barDir val="bar"/>
        <c:grouping val="stacked"/>
        <c:varyColors val="0"/>
        <c:ser>
          <c:idx val="0"/>
          <c:order val="0"/>
          <c:tx>
            <c:strRef>
              <c:f>Sheet7!$B$3:$B$4</c:f>
              <c:strCache>
                <c:ptCount val="1"/>
                <c:pt idx="0">
                  <c:v>Female</c:v>
                </c:pt>
              </c:strCache>
            </c:strRef>
          </c:tx>
          <c:spPr>
            <a:solidFill>
              <a:schemeClr val="accent1"/>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Sheet7!$B$5:$B$11</c:f>
              <c:numCache>
                <c:formatCode>General</c:formatCode>
                <c:ptCount val="6"/>
                <c:pt idx="0">
                  <c:v>7</c:v>
                </c:pt>
                <c:pt idx="1">
                  <c:v>9</c:v>
                </c:pt>
                <c:pt idx="2">
                  <c:v>5</c:v>
                </c:pt>
                <c:pt idx="3">
                  <c:v>8</c:v>
                </c:pt>
                <c:pt idx="4">
                  <c:v>6</c:v>
                </c:pt>
                <c:pt idx="5">
                  <c:v>8</c:v>
                </c:pt>
              </c:numCache>
            </c:numRef>
          </c:val>
          <c:extLst>
            <c:ext xmlns:c16="http://schemas.microsoft.com/office/drawing/2014/chart" uri="{C3380CC4-5D6E-409C-BE32-E72D297353CC}">
              <c16:uniqueId val="{00000000-EC1D-47DC-B19E-88F52713AF4B}"/>
            </c:ext>
          </c:extLst>
        </c:ser>
        <c:ser>
          <c:idx val="1"/>
          <c:order val="1"/>
          <c:tx>
            <c:strRef>
              <c:f>Sheet7!$C$3:$C$4</c:f>
              <c:strCache>
                <c:ptCount val="1"/>
                <c:pt idx="0">
                  <c:v>Male</c:v>
                </c:pt>
              </c:strCache>
            </c:strRef>
          </c:tx>
          <c:spPr>
            <a:solidFill>
              <a:schemeClr val="accent2"/>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Sheet7!$C$5:$C$11</c:f>
              <c:numCache>
                <c:formatCode>General</c:formatCode>
                <c:ptCount val="6"/>
                <c:pt idx="0">
                  <c:v>11</c:v>
                </c:pt>
                <c:pt idx="1">
                  <c:v>12</c:v>
                </c:pt>
                <c:pt idx="2">
                  <c:v>8</c:v>
                </c:pt>
                <c:pt idx="3">
                  <c:v>5</c:v>
                </c:pt>
                <c:pt idx="4">
                  <c:v>14</c:v>
                </c:pt>
                <c:pt idx="5">
                  <c:v>3</c:v>
                </c:pt>
              </c:numCache>
            </c:numRef>
          </c:val>
          <c:extLst>
            <c:ext xmlns:c16="http://schemas.microsoft.com/office/drawing/2014/chart" uri="{C3380CC4-5D6E-409C-BE32-E72D297353CC}">
              <c16:uniqueId val="{00000003-EC1D-47DC-B19E-88F52713AF4B}"/>
            </c:ext>
          </c:extLst>
        </c:ser>
        <c:ser>
          <c:idx val="2"/>
          <c:order val="2"/>
          <c:tx>
            <c:strRef>
              <c:f>Sheet7!$D$3:$D$4</c:f>
              <c:strCache>
                <c:ptCount val="1"/>
                <c:pt idx="0">
                  <c:v>UNKNOWN</c:v>
                </c:pt>
              </c:strCache>
            </c:strRef>
          </c:tx>
          <c:spPr>
            <a:solidFill>
              <a:schemeClr val="accent3"/>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Sheet7!$D$5:$D$11</c:f>
              <c:numCache>
                <c:formatCode>General</c:formatCode>
                <c:ptCount val="6"/>
                <c:pt idx="1">
                  <c:v>1</c:v>
                </c:pt>
                <c:pt idx="2">
                  <c:v>1</c:v>
                </c:pt>
                <c:pt idx="3">
                  <c:v>1</c:v>
                </c:pt>
              </c:numCache>
            </c:numRef>
          </c:val>
          <c:extLst>
            <c:ext xmlns:c16="http://schemas.microsoft.com/office/drawing/2014/chart" uri="{C3380CC4-5D6E-409C-BE32-E72D297353CC}">
              <c16:uniqueId val="{00000004-EC1D-47DC-B19E-88F52713AF4B}"/>
            </c:ext>
          </c:extLst>
        </c:ser>
        <c:dLbls>
          <c:showLegendKey val="0"/>
          <c:showVal val="0"/>
          <c:showCatName val="0"/>
          <c:showSerName val="0"/>
          <c:showPercent val="0"/>
          <c:showBubbleSize val="0"/>
        </c:dLbls>
        <c:gapWidth val="150"/>
        <c:shape val="box"/>
        <c:axId val="1709148128"/>
        <c:axId val="1707686080"/>
        <c:axId val="0"/>
      </c:bar3DChart>
      <c:catAx>
        <c:axId val="1709148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686080"/>
        <c:crosses val="autoZero"/>
        <c:auto val="1"/>
        <c:lblAlgn val="ctr"/>
        <c:lblOffset val="100"/>
        <c:noMultiLvlLbl val="0"/>
      </c:catAx>
      <c:valAx>
        <c:axId val="1707686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481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[Hospital_Patient_Billing_Management_System.xlsm]Sheet8!PivotTable4</c:name>
    <c:fmtId val="2"/>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Sheet8!$B$3:$B$4</c:f>
              <c:strCache>
                <c:ptCount val="1"/>
                <c:pt idx="0">
                  <c:v>No</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056-4FD0-B4F7-0E180FFDC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056-4FD0-B4F7-0E180FFDC5C2}"/>
              </c:ext>
            </c:extLst>
          </c:dPt>
          <c:dPt>
            <c:idx val="2"/>
            <c:bubble3D val="0"/>
            <c:explosion val="36"/>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056-4FD0-B4F7-0E180FFDC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2056-4FD0-B4F7-0E180FFDC5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Sheet8!$A$5:$A$9</c:f>
              <c:strCache>
                <c:ptCount val="4"/>
                <c:pt idx="0">
                  <c:v>General</c:v>
                </c:pt>
                <c:pt idx="1">
                  <c:v>Neurology</c:v>
                </c:pt>
                <c:pt idx="2">
                  <c:v>Orthopedics</c:v>
                </c:pt>
                <c:pt idx="3">
                  <c:v>Pediatrics</c:v>
                </c:pt>
              </c:strCache>
            </c:strRef>
          </c:cat>
          <c:val>
            <c:numRef>
              <c:f>Sheet8!$B$5:$B$9</c:f>
              <c:numCache>
                <c:formatCode>General</c:formatCode>
                <c:ptCount val="4"/>
                <c:pt idx="2">
                  <c:v>1</c:v>
                </c:pt>
                <c:pt idx="3">
                  <c:v>2</c:v>
                </c:pt>
              </c:numCache>
            </c:numRef>
          </c:val>
          <c:extLst>
            <c:ext xmlns:c16="http://schemas.microsoft.com/office/drawing/2014/chart" uri="{C3380CC4-5D6E-409C-BE32-E72D297353CC}">
              <c16:uniqueId val="{00000008-2056-4FD0-B4F7-0E180FFDC5C2}"/>
            </c:ext>
          </c:extLst>
        </c:ser>
        <c:ser>
          <c:idx val="1"/>
          <c:order val="1"/>
          <c:tx>
            <c:strRef>
              <c:f>Sheet8!$C$3:$C$4</c:f>
              <c:strCache>
                <c:ptCount val="1"/>
                <c:pt idx="0">
                  <c:v>Yes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A-2056-4FD0-B4F7-0E180FFDC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C-2056-4FD0-B4F7-0E180FFDC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E-2056-4FD0-B4F7-0E180FFDC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0-2056-4FD0-B4F7-0E180FFDC5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Sheet8!$A$5:$A$9</c:f>
              <c:strCache>
                <c:ptCount val="4"/>
                <c:pt idx="0">
                  <c:v>General</c:v>
                </c:pt>
                <c:pt idx="1">
                  <c:v>Neurology</c:v>
                </c:pt>
                <c:pt idx="2">
                  <c:v>Orthopedics</c:v>
                </c:pt>
                <c:pt idx="3">
                  <c:v>Pediatrics</c:v>
                </c:pt>
              </c:strCache>
            </c:strRef>
          </c:cat>
          <c:val>
            <c:numRef>
              <c:f>Sheet8!$C$5:$C$9</c:f>
              <c:numCache>
                <c:formatCode>General</c:formatCode>
                <c:ptCount val="4"/>
                <c:pt idx="0">
                  <c:v>2</c:v>
                </c:pt>
                <c:pt idx="1">
                  <c:v>2</c:v>
                </c:pt>
                <c:pt idx="3">
                  <c:v>1</c:v>
                </c:pt>
              </c:numCache>
            </c:numRef>
          </c:val>
          <c:extLst>
            <c:ext xmlns:c16="http://schemas.microsoft.com/office/drawing/2014/chart" uri="{C3380CC4-5D6E-409C-BE32-E72D297353CC}">
              <c16:uniqueId val="{00000011-2056-4FD0-B4F7-0E180FFDC5C2}"/>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[Hospital_Patient_Billing_Management_System.xlsm]Sheet9!PivotTable4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Sheet9!$B$3</c:f>
              <c:strCache>
                <c:ptCount val="1"/>
                <c:pt idx="0">
                  <c:v>Total</c:v>
                </c:pt>
              </c:strCache>
            </c:strRef>
          </c:tx>
          <c:spPr>
            <a:solidFill>
              <a:schemeClr val="accent1"/>
            </a:solidFill>
            <a:ln>
              <a:noFill/>
            </a:ln>
            <a:effectLst/>
            <a:sp3d/>
          </c:spPr>
          <c:invertIfNegative val="0"/>
          <c:cat>
            <c:strRef>
              <c:f>Sheet9!$A$4:$A$10</c:f>
              <c:strCache>
                <c:ptCount val="6"/>
                <c:pt idx="0">
                  <c:v>(blank)</c:v>
                </c:pt>
                <c:pt idx="1">
                  <c:v>Cardiology</c:v>
                </c:pt>
                <c:pt idx="2">
                  <c:v>General</c:v>
                </c:pt>
                <c:pt idx="3">
                  <c:v>Neurology</c:v>
                </c:pt>
                <c:pt idx="4">
                  <c:v>Orthopedics</c:v>
                </c:pt>
                <c:pt idx="5">
                  <c:v>Pediatrics</c:v>
                </c:pt>
              </c:strCache>
            </c:strRef>
          </c:cat>
          <c:val>
            <c:numRef>
              <c:f>Sheet9!$B$4:$B$10</c:f>
              <c:numCache>
                <c:formatCode>0</c:formatCode>
                <c:ptCount val="6"/>
                <c:pt idx="0">
                  <c:v>62.75</c:v>
                </c:pt>
                <c:pt idx="1">
                  <c:v>34.470588235294116</c:v>
                </c:pt>
                <c:pt idx="2">
                  <c:v>19.041666666666668</c:v>
                </c:pt>
                <c:pt idx="3">
                  <c:v>20.263157894736842</c:v>
                </c:pt>
                <c:pt idx="4">
                  <c:v>55.1875</c:v>
                </c:pt>
                <c:pt idx="5">
                  <c:v>6.4210526315789478</c:v>
                </c:pt>
              </c:numCache>
            </c:numRef>
          </c:val>
          <c:extLst>
            <c:ext xmlns:c16="http://schemas.microsoft.com/office/drawing/2014/chart" uri="{C3380CC4-5D6E-409C-BE32-E72D297353CC}">
              <c16:uniqueId val="{00000000-94CE-41ED-84A5-658B8459F734}"/>
            </c:ext>
          </c:extLst>
        </c:ser>
        <c:dLbls>
          <c:showLegendKey val="0"/>
          <c:showVal val="0"/>
          <c:showCatName val="0"/>
          <c:showSerName val="0"/>
          <c:showPercent val="0"/>
          <c:showBubbleSize val="0"/>
        </c:dLbls>
        <c:gapWidth val="150"/>
        <c:shape val="box"/>
        <c:axId val="1593288288"/>
        <c:axId val="1593293088"/>
        <c:axId val="0"/>
      </c:bar3DChart>
      <c:catAx>
        <c:axId val="1593288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93088"/>
        <c:crosses val="autoZero"/>
        <c:auto val="1"/>
        <c:lblAlgn val="ctr"/>
        <c:lblOffset val="100"/>
        <c:noMultiLvlLbl val="0"/>
      </c:catAx>
      <c:valAx>
        <c:axId val="159329308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8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[Hospital_Patient_Billing_Management_System.xlsm]Sheet7!PivotTable3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Sheet7!$B$3:$B$4</c:f>
              <c:strCache>
                <c:ptCount val="1"/>
                <c:pt idx="0">
                  <c:v>Female</c:v>
                </c:pt>
              </c:strCache>
            </c:strRef>
          </c:tx>
          <c:spPr>
            <a:solidFill>
              <a:schemeClr val="accent1"/>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Sheet7!$B$5:$B$11</c:f>
              <c:numCache>
                <c:formatCode>General</c:formatCode>
                <c:ptCount val="6"/>
                <c:pt idx="0">
                  <c:v>7</c:v>
                </c:pt>
                <c:pt idx="1">
                  <c:v>9</c:v>
                </c:pt>
                <c:pt idx="2">
                  <c:v>5</c:v>
                </c:pt>
                <c:pt idx="3">
                  <c:v>8</c:v>
                </c:pt>
                <c:pt idx="4">
                  <c:v>6</c:v>
                </c:pt>
                <c:pt idx="5">
                  <c:v>8</c:v>
                </c:pt>
              </c:numCache>
            </c:numRef>
          </c:val>
          <c:extLst>
            <c:ext xmlns:c16="http://schemas.microsoft.com/office/drawing/2014/chart" uri="{C3380CC4-5D6E-409C-BE32-E72D297353CC}">
              <c16:uniqueId val="{00000000-B464-42D6-9D59-5E941CA47699}"/>
            </c:ext>
          </c:extLst>
        </c:ser>
        <c:ser>
          <c:idx val="1"/>
          <c:order val="1"/>
          <c:tx>
            <c:strRef>
              <c:f>Sheet7!$C$3:$C$4</c:f>
              <c:strCache>
                <c:ptCount val="1"/>
                <c:pt idx="0">
                  <c:v>Male</c:v>
                </c:pt>
              </c:strCache>
            </c:strRef>
          </c:tx>
          <c:spPr>
            <a:solidFill>
              <a:schemeClr val="accent2"/>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Sheet7!$C$5:$C$11</c:f>
              <c:numCache>
                <c:formatCode>General</c:formatCode>
                <c:ptCount val="6"/>
                <c:pt idx="0">
                  <c:v>11</c:v>
                </c:pt>
                <c:pt idx="1">
                  <c:v>12</c:v>
                </c:pt>
                <c:pt idx="2">
                  <c:v>8</c:v>
                </c:pt>
                <c:pt idx="3">
                  <c:v>5</c:v>
                </c:pt>
                <c:pt idx="4">
                  <c:v>14</c:v>
                </c:pt>
                <c:pt idx="5">
                  <c:v>3</c:v>
                </c:pt>
              </c:numCache>
            </c:numRef>
          </c:val>
          <c:extLst>
            <c:ext xmlns:c16="http://schemas.microsoft.com/office/drawing/2014/chart" uri="{C3380CC4-5D6E-409C-BE32-E72D297353CC}">
              <c16:uniqueId val="{00000004-B464-42D6-9D59-5E941CA47699}"/>
            </c:ext>
          </c:extLst>
        </c:ser>
        <c:ser>
          <c:idx val="2"/>
          <c:order val="2"/>
          <c:tx>
            <c:strRef>
              <c:f>Sheet7!$D$3:$D$4</c:f>
              <c:strCache>
                <c:ptCount val="1"/>
                <c:pt idx="0">
                  <c:v>UNKNOWN</c:v>
                </c:pt>
              </c:strCache>
            </c:strRef>
          </c:tx>
          <c:spPr>
            <a:solidFill>
              <a:schemeClr val="accent3"/>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Sheet7!$D$5:$D$11</c:f>
              <c:numCache>
                <c:formatCode>General</c:formatCode>
                <c:ptCount val="6"/>
                <c:pt idx="1">
                  <c:v>1</c:v>
                </c:pt>
                <c:pt idx="2">
                  <c:v>1</c:v>
                </c:pt>
                <c:pt idx="3">
                  <c:v>1</c:v>
                </c:pt>
              </c:numCache>
            </c:numRef>
          </c:val>
          <c:extLst>
            <c:ext xmlns:c16="http://schemas.microsoft.com/office/drawing/2014/chart" uri="{C3380CC4-5D6E-409C-BE32-E72D297353CC}">
              <c16:uniqueId val="{00000005-B464-42D6-9D59-5E941CA47699}"/>
            </c:ext>
          </c:extLst>
        </c:ser>
        <c:dLbls>
          <c:showLegendKey val="0"/>
          <c:showVal val="0"/>
          <c:showCatName val="0"/>
          <c:showSerName val="0"/>
          <c:showPercent val="0"/>
          <c:showBubbleSize val="0"/>
        </c:dLbls>
        <c:gapWidth val="150"/>
        <c:shape val="box"/>
        <c:axId val="1709148128"/>
        <c:axId val="1707686080"/>
        <c:axId val="0"/>
      </c:bar3DChart>
      <c:catAx>
        <c:axId val="1709148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686080"/>
        <c:crosses val="autoZero"/>
        <c:auto val="1"/>
        <c:lblAlgn val="ctr"/>
        <c:lblOffset val="100"/>
        <c:noMultiLvlLbl val="0"/>
      </c:catAx>
      <c:valAx>
        <c:axId val="1707686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48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[Hospital_Patient_Billing_Management_System.xlsm]Sheet8!PivotTable4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Sheet8!$B$3:$B$4</c:f>
              <c:strCache>
                <c:ptCount val="1"/>
                <c:pt idx="0">
                  <c:v>No</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6C-4374-B2F5-5F176D6CAD5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6C-4374-B2F5-5F176D6CAD5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6C-4374-B2F5-5F176D6CAD5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06C-4374-B2F5-5F176D6CAD5F}"/>
              </c:ext>
            </c:extLst>
          </c:dPt>
          <c:cat>
            <c:strRef>
              <c:f>Sheet8!$A$5:$A$9</c:f>
              <c:strCache>
                <c:ptCount val="4"/>
                <c:pt idx="0">
                  <c:v>General</c:v>
                </c:pt>
                <c:pt idx="1">
                  <c:v>Neurology</c:v>
                </c:pt>
                <c:pt idx="2">
                  <c:v>Orthopedics</c:v>
                </c:pt>
                <c:pt idx="3">
                  <c:v>Pediatrics</c:v>
                </c:pt>
              </c:strCache>
            </c:strRef>
          </c:cat>
          <c:val>
            <c:numRef>
              <c:f>Sheet8!$B$5:$B$9</c:f>
              <c:numCache>
                <c:formatCode>General</c:formatCode>
                <c:ptCount val="4"/>
                <c:pt idx="2">
                  <c:v>1</c:v>
                </c:pt>
                <c:pt idx="3">
                  <c:v>2</c:v>
                </c:pt>
              </c:numCache>
            </c:numRef>
          </c:val>
          <c:extLst>
            <c:ext xmlns:c16="http://schemas.microsoft.com/office/drawing/2014/chart" uri="{C3380CC4-5D6E-409C-BE32-E72D297353CC}">
              <c16:uniqueId val="{00000000-F38F-4B1D-9ECD-E1EC9B9F91F1}"/>
            </c:ext>
          </c:extLst>
        </c:ser>
        <c:ser>
          <c:idx val="1"/>
          <c:order val="1"/>
          <c:tx>
            <c:strRef>
              <c:f>Sheet8!$C$3:$C$4</c:f>
              <c:strCache>
                <c:ptCount val="1"/>
                <c:pt idx="0">
                  <c:v>Yes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9-B06C-4374-B2F5-5F176D6CAD5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B-B06C-4374-B2F5-5F176D6CAD5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D-B06C-4374-B2F5-5F176D6CAD5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F-B06C-4374-B2F5-5F176D6CAD5F}"/>
              </c:ext>
            </c:extLst>
          </c:dPt>
          <c:cat>
            <c:strRef>
              <c:f>Sheet8!$A$5:$A$9</c:f>
              <c:strCache>
                <c:ptCount val="4"/>
                <c:pt idx="0">
                  <c:v>General</c:v>
                </c:pt>
                <c:pt idx="1">
                  <c:v>Neurology</c:v>
                </c:pt>
                <c:pt idx="2">
                  <c:v>Orthopedics</c:v>
                </c:pt>
                <c:pt idx="3">
                  <c:v>Pediatrics</c:v>
                </c:pt>
              </c:strCache>
            </c:strRef>
          </c:cat>
          <c:val>
            <c:numRef>
              <c:f>Sheet8!$C$5:$C$9</c:f>
              <c:numCache>
                <c:formatCode>General</c:formatCode>
                <c:ptCount val="4"/>
                <c:pt idx="0">
                  <c:v>2</c:v>
                </c:pt>
                <c:pt idx="1">
                  <c:v>2</c:v>
                </c:pt>
                <c:pt idx="3">
                  <c:v>1</c:v>
                </c:pt>
              </c:numCache>
            </c:numRef>
          </c:val>
          <c:extLst>
            <c:ext xmlns:c16="http://schemas.microsoft.com/office/drawing/2014/chart" uri="{C3380CC4-5D6E-409C-BE32-E72D297353CC}">
              <c16:uniqueId val="{00000001-F38F-4B1D-9ECD-E1EC9B9F91F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[Hospital_Patient_Billing_Management_System.xlsm]Sheet9!PivotTable4</c:name>
    <c:fmtId val="7"/>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Average Time Spent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Sheet9!$B$3</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Sheet9!$A$4:$A$10</c:f>
              <c:strCache>
                <c:ptCount val="6"/>
                <c:pt idx="0">
                  <c:v>(blank)</c:v>
                </c:pt>
                <c:pt idx="1">
                  <c:v>Cardiology</c:v>
                </c:pt>
                <c:pt idx="2">
                  <c:v>General</c:v>
                </c:pt>
                <c:pt idx="3">
                  <c:v>Neurology</c:v>
                </c:pt>
                <c:pt idx="4">
                  <c:v>Orthopedics</c:v>
                </c:pt>
                <c:pt idx="5">
                  <c:v>Pediatrics</c:v>
                </c:pt>
              </c:strCache>
            </c:strRef>
          </c:cat>
          <c:val>
            <c:numRef>
              <c:f>Sheet9!$B$4:$B$10</c:f>
              <c:numCache>
                <c:formatCode>0</c:formatCode>
                <c:ptCount val="6"/>
                <c:pt idx="0">
                  <c:v>62.75</c:v>
                </c:pt>
                <c:pt idx="1">
                  <c:v>34.470588235294116</c:v>
                </c:pt>
                <c:pt idx="2">
                  <c:v>19.041666666666668</c:v>
                </c:pt>
                <c:pt idx="3">
                  <c:v>20.263157894736842</c:v>
                </c:pt>
                <c:pt idx="4">
                  <c:v>55.1875</c:v>
                </c:pt>
                <c:pt idx="5">
                  <c:v>6.4210526315789478</c:v>
                </c:pt>
              </c:numCache>
            </c:numRef>
          </c:val>
          <c:extLst>
            <c:ext xmlns:c16="http://schemas.microsoft.com/office/drawing/2014/chart" uri="{C3380CC4-5D6E-409C-BE32-E72D297353CC}">
              <c16:uniqueId val="{00000000-F525-4D4C-99A6-8AE7AE8958AA}"/>
            </c:ext>
          </c:extLst>
        </c:ser>
        <c:dLbls>
          <c:showLegendKey val="0"/>
          <c:showVal val="0"/>
          <c:showCatName val="0"/>
          <c:showSerName val="0"/>
          <c:showPercent val="0"/>
          <c:showBubbleSize val="0"/>
        </c:dLbls>
        <c:gapWidth val="150"/>
        <c:shape val="box"/>
        <c:axId val="1593288288"/>
        <c:axId val="1593293088"/>
        <c:axId val="0"/>
      </c:bar3DChart>
      <c:catAx>
        <c:axId val="1593288288"/>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93088"/>
        <c:crosses val="autoZero"/>
        <c:auto val="1"/>
        <c:lblAlgn val="ctr"/>
        <c:lblOffset val="100"/>
        <c:noMultiLvlLbl val="0"/>
      </c:catAx>
      <c:valAx>
        <c:axId val="1593293088"/>
        <c:scaling>
          <c:orientation val="minMax"/>
        </c:scaling>
        <c:delete val="0"/>
        <c:axPos val="b"/>
        <c:majorGridlines>
          <c:spPr>
            <a:ln>
              <a:solidFill>
                <a:schemeClr val="tx1">
                  <a:lumMod val="15000"/>
                  <a:lumOff val="85000"/>
                </a:schemeClr>
              </a:solidFill>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8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[Hospital_Patient_Billing_Management_System.xlsm]Sheet4!PivotTable2</c:name>
    <c:fmtId val="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Due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Sheet4!$B$3</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Sheet4!$A$4:$A$5</c:f>
              <c:strCache>
                <c:ptCount val="1"/>
                <c:pt idx="0">
                  <c:v>61+ days overdue</c:v>
                </c:pt>
              </c:strCache>
            </c:strRef>
          </c:cat>
          <c:val>
            <c:numRef>
              <c:f>Sheet4!$B$4:$B$5</c:f>
              <c:numCache>
                <c:formatCode>"₹"\ #,##0.00</c:formatCode>
                <c:ptCount val="1"/>
                <c:pt idx="0">
                  <c:v>496283</c:v>
                </c:pt>
              </c:numCache>
            </c:numRef>
          </c:val>
          <c:extLst>
            <c:ext xmlns:c16="http://schemas.microsoft.com/office/drawing/2014/chart" uri="{C3380CC4-5D6E-409C-BE32-E72D297353CC}">
              <c16:uniqueId val="{00000000-D859-4685-A91F-ADF846BCB9F0}"/>
            </c:ext>
          </c:extLst>
        </c:ser>
        <c:dLbls>
          <c:showLegendKey val="0"/>
          <c:showVal val="0"/>
          <c:showCatName val="0"/>
          <c:showSerName val="0"/>
          <c:showPercent val="0"/>
          <c:showBubbleSize val="0"/>
        </c:dLbls>
        <c:gapWidth val="160"/>
        <c:gapDepth val="0"/>
        <c:shape val="box"/>
        <c:axId val="1828899488"/>
        <c:axId val="1828899968"/>
        <c:axId val="0"/>
      </c:bar3DChart>
      <c:catAx>
        <c:axId val="18288994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968"/>
        <c:crosses val="autoZero"/>
        <c:auto val="1"/>
        <c:lblAlgn val="ctr"/>
        <c:lblOffset val="100"/>
        <c:noMultiLvlLbl val="0"/>
      </c:catAx>
      <c:valAx>
        <c:axId val="1828899968"/>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hyperlink" Target="#DATA_BASE!A1"/><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data_entry!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hyperlink" Target="#data_entry!A1"/><Relationship Id="rId7" Type="http://schemas.openxmlformats.org/officeDocument/2006/relationships/hyperlink" Target="#RAW_DATA!A1"/><Relationship Id="rId2" Type="http://schemas.openxmlformats.org/officeDocument/2006/relationships/hyperlink" Target="#Hospital_Dashboard!A1"/><Relationship Id="rId1" Type="http://schemas.openxmlformats.org/officeDocument/2006/relationships/image" Target="../media/image1.jpg"/><Relationship Id="rId6" Type="http://schemas.openxmlformats.org/officeDocument/2006/relationships/hyperlink" Target="#CLEAN_DATA!A1"/><Relationship Id="rId5" Type="http://schemas.openxmlformats.org/officeDocument/2006/relationships/hyperlink" Target="#Search_Patient!A1"/><Relationship Id="rId4" Type="http://schemas.openxmlformats.org/officeDocument/2006/relationships/hyperlink" Target="#Patient_Dashboard!A1"/></Relationships>
</file>

<file path=xl/drawings/_rels/drawing13.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41275</xdr:colOff>
      <xdr:row>1</xdr:row>
      <xdr:rowOff>73025</xdr:rowOff>
    </xdr:from>
    <xdr:to>
      <xdr:col>12</xdr:col>
      <xdr:colOff>346075</xdr:colOff>
      <xdr:row>16</xdr:row>
      <xdr:rowOff>53975</xdr:rowOff>
    </xdr:to>
    <xdr:graphicFrame macro="">
      <xdr:nvGraphicFramePr>
        <xdr:cNvPr id="2" name="Chart 1">
          <a:extLst>
            <a:ext uri="{FF2B5EF4-FFF2-40B4-BE49-F238E27FC236}">
              <a16:creationId xmlns:a16="http://schemas.microsoft.com/office/drawing/2014/main" id="{075406FE-A0C0-C5CB-370B-9E69AF65AE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533400</xdr:colOff>
      <xdr:row>1</xdr:row>
      <xdr:rowOff>69850</xdr:rowOff>
    </xdr:from>
    <xdr:to>
      <xdr:col>15</xdr:col>
      <xdr:colOff>533400</xdr:colOff>
      <xdr:row>15</xdr:row>
      <xdr:rowOff>15875</xdr:rowOff>
    </xdr:to>
    <mc:AlternateContent xmlns:mc="http://schemas.openxmlformats.org/markup-compatibility/2006" xmlns:a14="http://schemas.microsoft.com/office/drawing/2010/main">
      <mc:Choice Requires="a14">
        <xdr:graphicFrame macro="">
          <xdr:nvGraphicFramePr>
            <xdr:cNvPr id="3" name="INSURANCE">
              <a:extLst>
                <a:ext uri="{FF2B5EF4-FFF2-40B4-BE49-F238E27FC236}">
                  <a16:creationId xmlns:a16="http://schemas.microsoft.com/office/drawing/2014/main" id="{6767CDFE-142B-B980-1C02-9618BF390144}"/>
                </a:ext>
              </a:extLst>
            </xdr:cNvPr>
            <xdr:cNvGraphicFramePr/>
          </xdr:nvGraphicFramePr>
          <xdr:xfrm>
            <a:off x="0" y="0"/>
            <a:ext cx="0" cy="0"/>
          </xdr:xfrm>
          <a:graphic>
            <a:graphicData uri="http://schemas.microsoft.com/office/drawing/2010/slicer">
              <sle:slicer xmlns:sle="http://schemas.microsoft.com/office/drawing/2010/slicer" name="INSURANCE"/>
            </a:graphicData>
          </a:graphic>
        </xdr:graphicFrame>
      </mc:Choice>
      <mc:Fallback xmlns="">
        <xdr:sp macro="" textlink="">
          <xdr:nvSpPr>
            <xdr:cNvPr id="0" name=""/>
            <xdr:cNvSpPr>
              <a:spLocks noTextEdit="1"/>
            </xdr:cNvSpPr>
          </xdr:nvSpPr>
          <xdr:spPr>
            <a:xfrm>
              <a:off x="9131300" y="254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xdr:row>
      <xdr:rowOff>69850</xdr:rowOff>
    </xdr:from>
    <xdr:to>
      <xdr:col>19</xdr:col>
      <xdr:colOff>95250</xdr:colOff>
      <xdr:row>15</xdr:row>
      <xdr:rowOff>15875</xdr:rowOff>
    </xdr:to>
    <mc:AlternateContent xmlns:mc="http://schemas.openxmlformats.org/markup-compatibility/2006" xmlns:a14="http://schemas.microsoft.com/office/drawing/2010/main">
      <mc:Choice Requires="a14">
        <xdr:graphicFrame macro="">
          <xdr:nvGraphicFramePr>
            <xdr:cNvPr id="4" name="ADMIT_DATE">
              <a:extLst>
                <a:ext uri="{FF2B5EF4-FFF2-40B4-BE49-F238E27FC236}">
                  <a16:creationId xmlns:a16="http://schemas.microsoft.com/office/drawing/2014/main" id="{C83AD659-B312-1E2B-6AF1-05A8C0CE7180}"/>
                </a:ext>
              </a:extLst>
            </xdr:cNvPr>
            <xdr:cNvGraphicFramePr/>
          </xdr:nvGraphicFramePr>
          <xdr:xfrm>
            <a:off x="0" y="0"/>
            <a:ext cx="0" cy="0"/>
          </xdr:xfrm>
          <a:graphic>
            <a:graphicData uri="http://schemas.microsoft.com/office/drawing/2010/slicer">
              <sle:slicer xmlns:sle="http://schemas.microsoft.com/office/drawing/2010/slicer" name="ADMIT_DATE"/>
            </a:graphicData>
          </a:graphic>
        </xdr:graphicFrame>
      </mc:Choice>
      <mc:Fallback xmlns="">
        <xdr:sp macro="" textlink="">
          <xdr:nvSpPr>
            <xdr:cNvPr id="0" name=""/>
            <xdr:cNvSpPr>
              <a:spLocks noTextEdit="1"/>
            </xdr:cNvSpPr>
          </xdr:nvSpPr>
          <xdr:spPr>
            <a:xfrm>
              <a:off x="11131550" y="254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xdr:colOff>
      <xdr:row>0</xdr:row>
      <xdr:rowOff>19050</xdr:rowOff>
    </xdr:from>
    <xdr:to>
      <xdr:col>10</xdr:col>
      <xdr:colOff>311150</xdr:colOff>
      <xdr:row>15</xdr:row>
      <xdr:rowOff>0</xdr:rowOff>
    </xdr:to>
    <xdr:graphicFrame macro="">
      <xdr:nvGraphicFramePr>
        <xdr:cNvPr id="2" name="Chart 1">
          <a:extLst>
            <a:ext uri="{FF2B5EF4-FFF2-40B4-BE49-F238E27FC236}">
              <a16:creationId xmlns:a16="http://schemas.microsoft.com/office/drawing/2014/main" id="{53AD07AC-4FB3-9627-4CA5-E283A0858B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190500</xdr:colOff>
      <xdr:row>0</xdr:row>
      <xdr:rowOff>19050</xdr:rowOff>
    </xdr:from>
    <xdr:to>
      <xdr:col>14</xdr:col>
      <xdr:colOff>190500</xdr:colOff>
      <xdr:row>13</xdr:row>
      <xdr:rowOff>149225</xdr:rowOff>
    </xdr:to>
    <mc:AlternateContent xmlns:mc="http://schemas.openxmlformats.org/markup-compatibility/2006" xmlns:a14="http://schemas.microsoft.com/office/drawing/2010/main">
      <mc:Choice Requires="a14">
        <xdr:graphicFrame macro="">
          <xdr:nvGraphicFramePr>
            <xdr:cNvPr id="3" name="DEPARTMENT 2">
              <a:extLst>
                <a:ext uri="{FF2B5EF4-FFF2-40B4-BE49-F238E27FC236}">
                  <a16:creationId xmlns:a16="http://schemas.microsoft.com/office/drawing/2014/main" id="{D8603365-C966-DAA5-9797-539F8F1DB4DF}"/>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8020050" y="190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204272</xdr:colOff>
      <xdr:row>5</xdr:row>
      <xdr:rowOff>64078</xdr:rowOff>
    </xdr:from>
    <xdr:to>
      <xdr:col>7</xdr:col>
      <xdr:colOff>509072</xdr:colOff>
      <xdr:row>20</xdr:row>
      <xdr:rowOff>47750</xdr:rowOff>
    </xdr:to>
    <xdr:graphicFrame macro="">
      <xdr:nvGraphicFramePr>
        <xdr:cNvPr id="2" name="Chart 1">
          <a:extLst>
            <a:ext uri="{FF2B5EF4-FFF2-40B4-BE49-F238E27FC236}">
              <a16:creationId xmlns:a16="http://schemas.microsoft.com/office/drawing/2014/main" id="{F946472A-1589-4792-850A-D05CC9A921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203343</xdr:colOff>
      <xdr:row>20</xdr:row>
      <xdr:rowOff>73603</xdr:rowOff>
    </xdr:from>
    <xdr:to>
      <xdr:col>3</xdr:col>
      <xdr:colOff>482386</xdr:colOff>
      <xdr:row>34</xdr:row>
      <xdr:rowOff>22350</xdr:rowOff>
    </xdr:to>
    <mc:AlternateContent xmlns:mc="http://schemas.openxmlformats.org/markup-compatibility/2006" xmlns:a14="http://schemas.microsoft.com/office/drawing/2010/main">
      <mc:Choice Requires="a14">
        <xdr:graphicFrame macro="">
          <xdr:nvGraphicFramePr>
            <xdr:cNvPr id="3" name="INSURANCE 1">
              <a:extLst>
                <a:ext uri="{FF2B5EF4-FFF2-40B4-BE49-F238E27FC236}">
                  <a16:creationId xmlns:a16="http://schemas.microsoft.com/office/drawing/2014/main" id="{28652947-588E-4180-9FCE-6433322CF210}"/>
                </a:ext>
              </a:extLst>
            </xdr:cNvPr>
            <xdr:cNvGraphicFramePr/>
          </xdr:nvGraphicFramePr>
          <xdr:xfrm>
            <a:off x="0" y="0"/>
            <a:ext cx="0" cy="0"/>
          </xdr:xfrm>
          <a:graphic>
            <a:graphicData uri="http://schemas.microsoft.com/office/drawing/2010/slicer">
              <sle:slicer xmlns:sle="http://schemas.microsoft.com/office/drawing/2010/slicer" name="INSURANCE 1"/>
            </a:graphicData>
          </a:graphic>
        </xdr:graphicFrame>
      </mc:Choice>
      <mc:Fallback xmlns="">
        <xdr:sp macro="" textlink="">
          <xdr:nvSpPr>
            <xdr:cNvPr id="0" name=""/>
            <xdr:cNvSpPr>
              <a:spLocks noTextEdit="1"/>
            </xdr:cNvSpPr>
          </xdr:nvSpPr>
          <xdr:spPr>
            <a:xfrm>
              <a:off x="203343" y="3843916"/>
              <a:ext cx="2112606" cy="25046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483316</xdr:colOff>
      <xdr:row>20</xdr:row>
      <xdr:rowOff>72489</xdr:rowOff>
    </xdr:from>
    <xdr:to>
      <xdr:col>7</xdr:col>
      <xdr:colOff>511855</xdr:colOff>
      <xdr:row>34</xdr:row>
      <xdr:rowOff>18514</xdr:rowOff>
    </xdr:to>
    <mc:AlternateContent xmlns:mc="http://schemas.openxmlformats.org/markup-compatibility/2006" xmlns:a14="http://schemas.microsoft.com/office/drawing/2010/main">
      <mc:Choice Requires="a14">
        <xdr:graphicFrame macro="">
          <xdr:nvGraphicFramePr>
            <xdr:cNvPr id="4" name="ADMIT_DATE 1">
              <a:extLst>
                <a:ext uri="{FF2B5EF4-FFF2-40B4-BE49-F238E27FC236}">
                  <a16:creationId xmlns:a16="http://schemas.microsoft.com/office/drawing/2014/main" id="{D3E185C3-AB77-4B32-90A5-887FAA3002D0}"/>
                </a:ext>
              </a:extLst>
            </xdr:cNvPr>
            <xdr:cNvGraphicFramePr/>
          </xdr:nvGraphicFramePr>
          <xdr:xfrm>
            <a:off x="0" y="0"/>
            <a:ext cx="0" cy="0"/>
          </xdr:xfrm>
          <a:graphic>
            <a:graphicData uri="http://schemas.microsoft.com/office/drawing/2010/slicer">
              <sle:slicer xmlns:sle="http://schemas.microsoft.com/office/drawing/2010/slicer" name="ADMIT_DATE 1"/>
            </a:graphicData>
          </a:graphic>
        </xdr:graphicFrame>
      </mc:Choice>
      <mc:Fallback xmlns="">
        <xdr:sp macro="" textlink="">
          <xdr:nvSpPr>
            <xdr:cNvPr id="0" name=""/>
            <xdr:cNvSpPr>
              <a:spLocks noTextEdit="1"/>
            </xdr:cNvSpPr>
          </xdr:nvSpPr>
          <xdr:spPr>
            <a:xfrm>
              <a:off x="2316879" y="3842802"/>
              <a:ext cx="2473289" cy="2501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181429</xdr:colOff>
      <xdr:row>5</xdr:row>
      <xdr:rowOff>59789</xdr:rowOff>
    </xdr:from>
    <xdr:to>
      <xdr:col>15</xdr:col>
      <xdr:colOff>486229</xdr:colOff>
      <xdr:row>20</xdr:row>
      <xdr:rowOff>40740</xdr:rowOff>
    </xdr:to>
    <xdr:graphicFrame macro="">
      <xdr:nvGraphicFramePr>
        <xdr:cNvPr id="5" name="Chart 4">
          <a:extLst>
            <a:ext uri="{FF2B5EF4-FFF2-40B4-BE49-F238E27FC236}">
              <a16:creationId xmlns:a16="http://schemas.microsoft.com/office/drawing/2014/main" id="{E58B286A-1F36-4D30-A7AC-95BE44AB6F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587805</xdr:colOff>
      <xdr:row>20</xdr:row>
      <xdr:rowOff>47844</xdr:rowOff>
    </xdr:from>
    <xdr:to>
      <xdr:col>15</xdr:col>
      <xdr:colOff>498619</xdr:colOff>
      <xdr:row>33</xdr:row>
      <xdr:rowOff>175077</xdr:rowOff>
    </xdr:to>
    <mc:AlternateContent xmlns:mc="http://schemas.openxmlformats.org/markup-compatibility/2006" xmlns:a14="http://schemas.microsoft.com/office/drawing/2010/main">
      <mc:Choice Requires="a14">
        <xdr:graphicFrame macro="">
          <xdr:nvGraphicFramePr>
            <xdr:cNvPr id="6" name="DEPARTMENT 1">
              <a:extLst>
                <a:ext uri="{FF2B5EF4-FFF2-40B4-BE49-F238E27FC236}">
                  <a16:creationId xmlns:a16="http://schemas.microsoft.com/office/drawing/2014/main" id="{5D553CC1-0CAB-46B8-9D5D-AD71AD010C24}"/>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7310868" y="3818157"/>
              <a:ext cx="2355564" cy="25005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179205</xdr:colOff>
      <xdr:row>20</xdr:row>
      <xdr:rowOff>49502</xdr:rowOff>
    </xdr:from>
    <xdr:to>
      <xdr:col>11</xdr:col>
      <xdr:colOff>564486</xdr:colOff>
      <xdr:row>33</xdr:row>
      <xdr:rowOff>175601</xdr:rowOff>
    </xdr:to>
    <mc:AlternateContent xmlns:mc="http://schemas.openxmlformats.org/markup-compatibility/2006" xmlns:a14="http://schemas.microsoft.com/office/drawing/2010/main">
      <mc:Choice Requires="a14">
        <xdr:graphicFrame macro="">
          <xdr:nvGraphicFramePr>
            <xdr:cNvPr id="7" name="SEX 1">
              <a:extLst>
                <a:ext uri="{FF2B5EF4-FFF2-40B4-BE49-F238E27FC236}">
                  <a16:creationId xmlns:a16="http://schemas.microsoft.com/office/drawing/2014/main" id="{F3F173E1-B4D4-4C06-851B-FD78BF74EED4}"/>
                </a:ext>
              </a:extLst>
            </xdr:cNvPr>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mlns="">
        <xdr:sp macro="" textlink="">
          <xdr:nvSpPr>
            <xdr:cNvPr id="0" name=""/>
            <xdr:cNvSpPr>
              <a:spLocks noTextEdit="1"/>
            </xdr:cNvSpPr>
          </xdr:nvSpPr>
          <xdr:spPr>
            <a:xfrm>
              <a:off x="5068705" y="3819815"/>
              <a:ext cx="2218844" cy="24994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279092</xdr:colOff>
      <xdr:row>5</xdr:row>
      <xdr:rowOff>89880</xdr:rowOff>
    </xdr:from>
    <xdr:to>
      <xdr:col>23</xdr:col>
      <xdr:colOff>605867</xdr:colOff>
      <xdr:row>20</xdr:row>
      <xdr:rowOff>50496</xdr:rowOff>
    </xdr:to>
    <xdr:graphicFrame macro="">
      <xdr:nvGraphicFramePr>
        <xdr:cNvPr id="8" name="Chart 7">
          <a:extLst>
            <a:ext uri="{FF2B5EF4-FFF2-40B4-BE49-F238E27FC236}">
              <a16:creationId xmlns:a16="http://schemas.microsoft.com/office/drawing/2014/main" id="{ADFC483A-702C-4B86-97A1-6706CF298C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286227</xdr:colOff>
      <xdr:row>20</xdr:row>
      <xdr:rowOff>75609</xdr:rowOff>
    </xdr:from>
    <xdr:to>
      <xdr:col>20</xdr:col>
      <xdr:colOff>186340</xdr:colOff>
      <xdr:row>34</xdr:row>
      <xdr:rowOff>2656</xdr:rowOff>
    </xdr:to>
    <mc:AlternateContent xmlns:mc="http://schemas.openxmlformats.org/markup-compatibility/2006" xmlns:a14="http://schemas.microsoft.com/office/drawing/2010/main">
      <mc:Choice Requires="a14">
        <xdr:graphicFrame macro="">
          <xdr:nvGraphicFramePr>
            <xdr:cNvPr id="9" name="PAYMENT 1">
              <a:extLst>
                <a:ext uri="{FF2B5EF4-FFF2-40B4-BE49-F238E27FC236}">
                  <a16:creationId xmlns:a16="http://schemas.microsoft.com/office/drawing/2014/main" id="{DAA5D8F5-F338-4255-BB32-0D68816BE2B5}"/>
                </a:ext>
              </a:extLst>
            </xdr:cNvPr>
            <xdr:cNvGraphicFramePr/>
          </xdr:nvGraphicFramePr>
          <xdr:xfrm>
            <a:off x="0" y="0"/>
            <a:ext cx="0" cy="0"/>
          </xdr:xfrm>
          <a:graphic>
            <a:graphicData uri="http://schemas.microsoft.com/office/drawing/2010/slicer">
              <sle:slicer xmlns:sle="http://schemas.microsoft.com/office/drawing/2010/slicer" name="PAYMENT 1"/>
            </a:graphicData>
          </a:graphic>
        </xdr:graphicFrame>
      </mc:Choice>
      <mc:Fallback xmlns="">
        <xdr:sp macro="" textlink="">
          <xdr:nvSpPr>
            <xdr:cNvPr id="0" name=""/>
            <xdr:cNvSpPr>
              <a:spLocks noTextEdit="1"/>
            </xdr:cNvSpPr>
          </xdr:nvSpPr>
          <xdr:spPr>
            <a:xfrm>
              <a:off x="10065227" y="3845922"/>
              <a:ext cx="2344863" cy="24829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208548</xdr:colOff>
      <xdr:row>20</xdr:row>
      <xdr:rowOff>78947</xdr:rowOff>
    </xdr:from>
    <xdr:to>
      <xdr:col>24</xdr:col>
      <xdr:colOff>780</xdr:colOff>
      <xdr:row>34</xdr:row>
      <xdr:rowOff>5994</xdr:rowOff>
    </xdr:to>
    <mc:AlternateContent xmlns:mc="http://schemas.openxmlformats.org/markup-compatibility/2006" xmlns:a14="http://schemas.microsoft.com/office/drawing/2010/main">
      <mc:Choice Requires="a14">
        <xdr:graphicFrame macro="">
          <xdr:nvGraphicFramePr>
            <xdr:cNvPr id="10" name="DOCTOR 1">
              <a:extLst>
                <a:ext uri="{FF2B5EF4-FFF2-40B4-BE49-F238E27FC236}">
                  <a16:creationId xmlns:a16="http://schemas.microsoft.com/office/drawing/2014/main" id="{1E6E30F4-A753-4E55-A41A-512E1BD1AD0F}"/>
                </a:ext>
              </a:extLst>
            </xdr:cNvPr>
            <xdr:cNvGraphicFramePr/>
          </xdr:nvGraphicFramePr>
          <xdr:xfrm>
            <a:off x="0" y="0"/>
            <a:ext cx="0" cy="0"/>
          </xdr:xfrm>
          <a:graphic>
            <a:graphicData uri="http://schemas.microsoft.com/office/drawing/2010/slicer">
              <sle:slicer xmlns:sle="http://schemas.microsoft.com/office/drawing/2010/slicer" name="DOCTOR 1"/>
            </a:graphicData>
          </a:graphic>
        </xdr:graphicFrame>
      </mc:Choice>
      <mc:Fallback xmlns="">
        <xdr:sp macro="" textlink="">
          <xdr:nvSpPr>
            <xdr:cNvPr id="0" name=""/>
            <xdr:cNvSpPr>
              <a:spLocks noTextEdit="1"/>
            </xdr:cNvSpPr>
          </xdr:nvSpPr>
          <xdr:spPr>
            <a:xfrm>
              <a:off x="12432298" y="3849260"/>
              <a:ext cx="2235395" cy="24829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574180</xdr:colOff>
      <xdr:row>34</xdr:row>
      <xdr:rowOff>26285</xdr:rowOff>
    </xdr:from>
    <xdr:to>
      <xdr:col>13</xdr:col>
      <xdr:colOff>475219</xdr:colOff>
      <xdr:row>37</xdr:row>
      <xdr:rowOff>26286</xdr:rowOff>
    </xdr:to>
    <xdr:sp macro="" textlink="">
      <xdr:nvSpPr>
        <xdr:cNvPr id="12" name="Rectangle 11">
          <a:hlinkClick xmlns:r="http://schemas.openxmlformats.org/officeDocument/2006/relationships" r:id="rId4"/>
          <a:extLst>
            <a:ext uri="{FF2B5EF4-FFF2-40B4-BE49-F238E27FC236}">
              <a16:creationId xmlns:a16="http://schemas.microsoft.com/office/drawing/2014/main" id="{FDE8D71E-B27E-4824-B63E-C9E0E449CAFD}"/>
            </a:ext>
          </a:extLst>
        </xdr:cNvPr>
        <xdr:cNvSpPr/>
      </xdr:nvSpPr>
      <xdr:spPr>
        <a:xfrm>
          <a:off x="6074868" y="6352473"/>
          <a:ext cx="2345789" cy="547688"/>
        </a:xfrm>
        <a:prstGeom prst="rect">
          <a:avLst/>
        </a:prstGeom>
        <a:solidFill>
          <a:schemeClr val="bg1">
            <a:lumMod val="85000"/>
          </a:schemeClr>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3200">
              <a:solidFill>
                <a:schemeClr val="tx1">
                  <a:lumMod val="75000"/>
                  <a:lumOff val="25000"/>
                </a:schemeClr>
              </a:solidFill>
            </a:rPr>
            <a:t>Home</a:t>
          </a:r>
          <a:endParaRPr lang="en-IN" sz="1100">
            <a:solidFill>
              <a:schemeClr val="tx1">
                <a:lumMod val="75000"/>
                <a:lumOff val="25000"/>
              </a:schemeClr>
            </a:solidFill>
          </a:endParaRP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387350</xdr:colOff>
      <xdr:row>10</xdr:row>
      <xdr:rowOff>38100</xdr:rowOff>
    </xdr:from>
    <xdr:to>
      <xdr:col>1</xdr:col>
      <xdr:colOff>717550</xdr:colOff>
      <xdr:row>12</xdr:row>
      <xdr:rowOff>57150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80D4DFF8-8C3D-47F3-825D-56C5899D4E58}"/>
            </a:ext>
          </a:extLst>
        </xdr:cNvPr>
        <xdr:cNvSpPr/>
      </xdr:nvSpPr>
      <xdr:spPr>
        <a:xfrm>
          <a:off x="387350" y="1879600"/>
          <a:ext cx="1517650" cy="387350"/>
        </a:xfrm>
        <a:prstGeom prst="rect">
          <a:avLst/>
        </a:prstGeom>
        <a:solidFill>
          <a:schemeClr val="tx2">
            <a:lumMod val="60000"/>
            <a:lumOff val="40000"/>
          </a:schemeClr>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solidFill>
                <a:schemeClr val="bg1"/>
              </a:solidFill>
            </a:rPr>
            <a:t>Home</a:t>
          </a:r>
        </a:p>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706549</xdr:colOff>
      <xdr:row>3</xdr:row>
      <xdr:rowOff>35774</xdr:rowOff>
    </xdr:from>
    <xdr:to>
      <xdr:col>21</xdr:col>
      <xdr:colOff>98380</xdr:colOff>
      <xdr:row>7</xdr:row>
      <xdr:rowOff>35775</xdr:rowOff>
    </xdr:to>
    <xdr:sp macro="" textlink="">
      <xdr:nvSpPr>
        <xdr:cNvPr id="2" name="Arrow: Curved Left 1">
          <a:hlinkClick xmlns:r="http://schemas.openxmlformats.org/officeDocument/2006/relationships" r:id="rId1"/>
          <a:extLst>
            <a:ext uri="{FF2B5EF4-FFF2-40B4-BE49-F238E27FC236}">
              <a16:creationId xmlns:a16="http://schemas.microsoft.com/office/drawing/2014/main" id="{6DFC8C5F-A505-E7C6-E273-EE2A53774C71}"/>
            </a:ext>
          </a:extLst>
        </xdr:cNvPr>
        <xdr:cNvSpPr/>
      </xdr:nvSpPr>
      <xdr:spPr>
        <a:xfrm>
          <a:off x="15096901" y="599225"/>
          <a:ext cx="867535" cy="751268"/>
        </a:xfrm>
        <a:prstGeom prst="curved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209550</xdr:colOff>
      <xdr:row>2</xdr:row>
      <xdr:rowOff>6350</xdr:rowOff>
    </xdr:from>
    <xdr:to>
      <xdr:col>10</xdr:col>
      <xdr:colOff>514350</xdr:colOff>
      <xdr:row>16</xdr:row>
      <xdr:rowOff>171450</xdr:rowOff>
    </xdr:to>
    <xdr:graphicFrame macro="">
      <xdr:nvGraphicFramePr>
        <xdr:cNvPr id="2" name="Chart 1">
          <a:extLst>
            <a:ext uri="{FF2B5EF4-FFF2-40B4-BE49-F238E27FC236}">
              <a16:creationId xmlns:a16="http://schemas.microsoft.com/office/drawing/2014/main" id="{00E5605B-D51C-C113-0550-0813F14A4A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501650</xdr:colOff>
      <xdr:row>2</xdr:row>
      <xdr:rowOff>6350</xdr:rowOff>
    </xdr:from>
    <xdr:to>
      <xdr:col>14</xdr:col>
      <xdr:colOff>501650</xdr:colOff>
      <xdr:row>15</xdr:row>
      <xdr:rowOff>136525</xdr:rowOff>
    </xdr:to>
    <mc:AlternateContent xmlns:mc="http://schemas.openxmlformats.org/markup-compatibility/2006" xmlns:a14="http://schemas.microsoft.com/office/drawing/2010/main">
      <mc:Choice Requires="a14">
        <xdr:graphicFrame macro="">
          <xdr:nvGraphicFramePr>
            <xdr:cNvPr id="3" name="DEPARTMENT 3">
              <a:extLst>
                <a:ext uri="{FF2B5EF4-FFF2-40B4-BE49-F238E27FC236}">
                  <a16:creationId xmlns:a16="http://schemas.microsoft.com/office/drawing/2014/main" id="{9F6026C8-C0CD-4FF0-4FA4-886CE0D94F15}"/>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7785100" y="374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xdr:col>
      <xdr:colOff>914400</xdr:colOff>
      <xdr:row>13</xdr:row>
      <xdr:rowOff>19050</xdr:rowOff>
    </xdr:from>
    <xdr:to>
      <xdr:col>1</xdr:col>
      <xdr:colOff>2692400</xdr:colOff>
      <xdr:row>14</xdr:row>
      <xdr:rowOff>165100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4548561D-7E2C-8D72-BAEE-6366D4D5DBDF}"/>
            </a:ext>
          </a:extLst>
        </xdr:cNvPr>
        <xdr:cNvSpPr/>
      </xdr:nvSpPr>
      <xdr:spPr>
        <a:xfrm>
          <a:off x="2171700" y="2413000"/>
          <a:ext cx="1778000" cy="330200"/>
        </a:xfrm>
        <a:prstGeom prst="rect">
          <a:avLst/>
        </a:prstGeom>
        <a:solidFill>
          <a:schemeClr val="tx2">
            <a:lumMod val="60000"/>
            <a:lumOff val="4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solidFill>
                <a:schemeClr val="bg1"/>
              </a:solidFill>
            </a:rPr>
            <a:t>Home</a:t>
          </a:r>
        </a:p>
        <a:p>
          <a:pPr algn="l"/>
          <a:endParaRPr lang="en-IN" sz="1100"/>
        </a:p>
      </xdr:txBody>
    </xdr:sp>
    <xdr:clientData/>
  </xdr:twoCellAnchor>
  <mc:AlternateContent xmlns:mc="http://schemas.openxmlformats.org/markup-compatibility/2006">
    <mc:Choice xmlns:a14="http://schemas.microsoft.com/office/drawing/2010/main" Requires="a14">
      <xdr:twoCellAnchor>
        <xdr:from>
          <xdr:col>0</xdr:col>
          <xdr:colOff>171450</xdr:colOff>
          <xdr:row>13</xdr:row>
          <xdr:rowOff>12700</xdr:rowOff>
        </xdr:from>
        <xdr:to>
          <xdr:col>1</xdr:col>
          <xdr:colOff>628650</xdr:colOff>
          <xdr:row>14</xdr:row>
          <xdr:rowOff>165100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 </a:t>
              </a:r>
              <a:r>
                <a:rPr lang="en-IN" sz="1400" b="1" i="0" u="none" strike="noStrike" baseline="0">
                  <a:solidFill>
                    <a:srgbClr val="000000"/>
                  </a:solidFill>
                  <a:latin typeface="Calibri"/>
                  <a:ea typeface="Calibri"/>
                  <a:cs typeface="Calibri"/>
                </a:rPr>
                <a:t>Insert</a:t>
              </a:r>
            </a:p>
          </xdr:txBody>
        </xdr:sp>
        <xdr:clientData fPrintsWithSheet="0"/>
      </xdr:twoCellAnchor>
    </mc:Choice>
    <mc:Fallback/>
  </mc:AlternateContent>
  <xdr:twoCellAnchor>
    <xdr:from>
      <xdr:col>1</xdr:col>
      <xdr:colOff>2946400</xdr:colOff>
      <xdr:row>13</xdr:row>
      <xdr:rowOff>19050</xdr:rowOff>
    </xdr:from>
    <xdr:to>
      <xdr:col>1</xdr:col>
      <xdr:colOff>4298950</xdr:colOff>
      <xdr:row>14</xdr:row>
      <xdr:rowOff>165100</xdr:rowOff>
    </xdr:to>
    <xdr:sp macro="" textlink="">
      <xdr:nvSpPr>
        <xdr:cNvPr id="2" name="Rectangle 1">
          <a:hlinkClick xmlns:r="http://schemas.openxmlformats.org/officeDocument/2006/relationships" r:id="rId2"/>
          <a:extLst>
            <a:ext uri="{FF2B5EF4-FFF2-40B4-BE49-F238E27FC236}">
              <a16:creationId xmlns:a16="http://schemas.microsoft.com/office/drawing/2014/main" id="{72D95295-4519-3B71-67F2-4EDE0BCFA86C}"/>
            </a:ext>
          </a:extLst>
        </xdr:cNvPr>
        <xdr:cNvSpPr/>
      </xdr:nvSpPr>
      <xdr:spPr>
        <a:xfrm>
          <a:off x="4203700" y="2413000"/>
          <a:ext cx="1352550" cy="33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t>Data Base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xdr:colOff>
      <xdr:row>13</xdr:row>
      <xdr:rowOff>158750</xdr:rowOff>
    </xdr:from>
    <xdr:to>
      <xdr:col>0</xdr:col>
      <xdr:colOff>1181100</xdr:colOff>
      <xdr:row>16</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5EF681E5-E483-0C3A-1116-C007F1ADE492}"/>
            </a:ext>
          </a:extLst>
        </xdr:cNvPr>
        <xdr:cNvSpPr/>
      </xdr:nvSpPr>
      <xdr:spPr>
        <a:xfrm>
          <a:off x="25400" y="2184400"/>
          <a:ext cx="1155700" cy="393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t>Go 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508000</xdr:colOff>
      <xdr:row>2</xdr:row>
      <xdr:rowOff>120650</xdr:rowOff>
    </xdr:from>
    <xdr:to>
      <xdr:col>16</xdr:col>
      <xdr:colOff>323850</xdr:colOff>
      <xdr:row>5</xdr:row>
      <xdr:rowOff>127000</xdr:rowOff>
    </xdr:to>
    <xdr:sp macro="" textlink="">
      <xdr:nvSpPr>
        <xdr:cNvPr id="2" name="Arrow: Curved Left 1">
          <a:hlinkClick xmlns:r="http://schemas.openxmlformats.org/officeDocument/2006/relationships" r:id="rId1"/>
          <a:extLst>
            <a:ext uri="{FF2B5EF4-FFF2-40B4-BE49-F238E27FC236}">
              <a16:creationId xmlns:a16="http://schemas.microsoft.com/office/drawing/2014/main" id="{D59F7808-FBA5-1924-0CD5-3F5F115B4413}"/>
            </a:ext>
          </a:extLst>
        </xdr:cNvPr>
        <xdr:cNvSpPr/>
      </xdr:nvSpPr>
      <xdr:spPr>
        <a:xfrm>
          <a:off x="10255250" y="488950"/>
          <a:ext cx="425450" cy="558800"/>
        </a:xfrm>
        <a:prstGeom prst="curved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225425</xdr:colOff>
      <xdr:row>1</xdr:row>
      <xdr:rowOff>177800</xdr:rowOff>
    </xdr:from>
    <xdr:to>
      <xdr:col>12</xdr:col>
      <xdr:colOff>530225</xdr:colOff>
      <xdr:row>16</xdr:row>
      <xdr:rowOff>158750</xdr:rowOff>
    </xdr:to>
    <xdr:graphicFrame macro="">
      <xdr:nvGraphicFramePr>
        <xdr:cNvPr id="2" name="Chart 1">
          <a:extLst>
            <a:ext uri="{FF2B5EF4-FFF2-40B4-BE49-F238E27FC236}">
              <a16:creationId xmlns:a16="http://schemas.microsoft.com/office/drawing/2014/main" id="{81FE5505-2263-DF0C-3136-701E41DBC1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165100</xdr:colOff>
      <xdr:row>1</xdr:row>
      <xdr:rowOff>177800</xdr:rowOff>
    </xdr:from>
    <xdr:to>
      <xdr:col>20</xdr:col>
      <xdr:colOff>165100</xdr:colOff>
      <xdr:row>15</xdr:row>
      <xdr:rowOff>123825</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A3036229-7041-504D-0F77-BD1F640BBA05}"/>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220450" y="361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425450</xdr:colOff>
      <xdr:row>2</xdr:row>
      <xdr:rowOff>6350</xdr:rowOff>
    </xdr:from>
    <xdr:to>
      <xdr:col>16</xdr:col>
      <xdr:colOff>425450</xdr:colOff>
      <xdr:row>15</xdr:row>
      <xdr:rowOff>136525</xdr:rowOff>
    </xdr:to>
    <mc:AlternateContent xmlns:mc="http://schemas.openxmlformats.org/markup-compatibility/2006" xmlns:a14="http://schemas.microsoft.com/office/drawing/2010/main">
      <mc:Choice Requires="a14">
        <xdr:graphicFrame macro="">
          <xdr:nvGraphicFramePr>
            <xdr:cNvPr id="4" name="SEX">
              <a:extLst>
                <a:ext uri="{FF2B5EF4-FFF2-40B4-BE49-F238E27FC236}">
                  <a16:creationId xmlns:a16="http://schemas.microsoft.com/office/drawing/2014/main" id="{33222807-D527-545E-3D45-92B3DC53E2A6}"/>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9042400" y="374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5</xdr:col>
      <xdr:colOff>92075</xdr:colOff>
      <xdr:row>2</xdr:row>
      <xdr:rowOff>38100</xdr:rowOff>
    </xdr:from>
    <xdr:to>
      <xdr:col>12</xdr:col>
      <xdr:colOff>396875</xdr:colOff>
      <xdr:row>17</xdr:row>
      <xdr:rowOff>19050</xdr:rowOff>
    </xdr:to>
    <xdr:graphicFrame macro="">
      <xdr:nvGraphicFramePr>
        <xdr:cNvPr id="2" name="Chart 1">
          <a:extLst>
            <a:ext uri="{FF2B5EF4-FFF2-40B4-BE49-F238E27FC236}">
              <a16:creationId xmlns:a16="http://schemas.microsoft.com/office/drawing/2014/main" id="{3FD228BC-A298-9298-58FB-B6BEB94BFC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361950</xdr:colOff>
      <xdr:row>5</xdr:row>
      <xdr:rowOff>50800</xdr:rowOff>
    </xdr:from>
    <xdr:to>
      <xdr:col>20</xdr:col>
      <xdr:colOff>361950</xdr:colOff>
      <xdr:row>19</xdr:row>
      <xdr:rowOff>0</xdr:rowOff>
    </xdr:to>
    <mc:AlternateContent xmlns:mc="http://schemas.openxmlformats.org/markup-compatibility/2006" xmlns:a14="http://schemas.microsoft.com/office/drawing/2010/main">
      <mc:Choice Requires="a14">
        <xdr:graphicFrame macro="">
          <xdr:nvGraphicFramePr>
            <xdr:cNvPr id="3" name="DOCTOR">
              <a:extLst>
                <a:ext uri="{FF2B5EF4-FFF2-40B4-BE49-F238E27FC236}">
                  <a16:creationId xmlns:a16="http://schemas.microsoft.com/office/drawing/2014/main" id="{F80A4B94-EC9A-0452-090C-0874C3D60C95}"/>
                </a:ext>
              </a:extLst>
            </xdr:cNvPr>
            <xdr:cNvGraphicFramePr/>
          </xdr:nvGraphicFramePr>
          <xdr:xfrm>
            <a:off x="0" y="0"/>
            <a:ext cx="0" cy="0"/>
          </xdr:xfrm>
          <a:graphic>
            <a:graphicData uri="http://schemas.microsoft.com/office/drawing/2010/slicer">
              <sle:slicer xmlns:sle="http://schemas.microsoft.com/office/drawing/2010/slicer" name="DOCTOR"/>
            </a:graphicData>
          </a:graphic>
        </xdr:graphicFrame>
      </mc:Choice>
      <mc:Fallback xmlns="">
        <xdr:sp macro="" textlink="">
          <xdr:nvSpPr>
            <xdr:cNvPr id="0" name=""/>
            <xdr:cNvSpPr>
              <a:spLocks noTextEdit="1"/>
            </xdr:cNvSpPr>
          </xdr:nvSpPr>
          <xdr:spPr>
            <a:xfrm>
              <a:off x="11360150" y="9715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590550</xdr:colOff>
      <xdr:row>5</xdr:row>
      <xdr:rowOff>57150</xdr:rowOff>
    </xdr:from>
    <xdr:to>
      <xdr:col>16</xdr:col>
      <xdr:colOff>590550</xdr:colOff>
      <xdr:row>19</xdr:row>
      <xdr:rowOff>3175</xdr:rowOff>
    </xdr:to>
    <mc:AlternateContent xmlns:mc="http://schemas.openxmlformats.org/markup-compatibility/2006" xmlns:a14="http://schemas.microsoft.com/office/drawing/2010/main">
      <mc:Choice Requires="a14">
        <xdr:graphicFrame macro="">
          <xdr:nvGraphicFramePr>
            <xdr:cNvPr id="4" name="PAYMENT">
              <a:extLst>
                <a:ext uri="{FF2B5EF4-FFF2-40B4-BE49-F238E27FC236}">
                  <a16:creationId xmlns:a16="http://schemas.microsoft.com/office/drawing/2014/main" id="{BF912F9E-CC21-1FEB-1018-B273D7891E98}"/>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9150350" y="977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23</xdr:col>
      <xdr:colOff>76200</xdr:colOff>
      <xdr:row>36</xdr:row>
      <xdr:rowOff>19050</xdr:rowOff>
    </xdr:to>
    <xdr:pic>
      <xdr:nvPicPr>
        <xdr:cNvPr id="10" name="Picture 9">
          <a:extLst>
            <a:ext uri="{FF2B5EF4-FFF2-40B4-BE49-F238E27FC236}">
              <a16:creationId xmlns:a16="http://schemas.microsoft.com/office/drawing/2014/main" id="{8928118F-96F3-2419-2C62-8ED2C35716D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20750"/>
          <a:ext cx="14097000" cy="5727700"/>
        </a:xfrm>
        <a:prstGeom prst="rect">
          <a:avLst/>
        </a:prstGeom>
      </xdr:spPr>
    </xdr:pic>
    <xdr:clientData/>
  </xdr:twoCellAnchor>
  <xdr:twoCellAnchor>
    <xdr:from>
      <xdr:col>0</xdr:col>
      <xdr:colOff>57150</xdr:colOff>
      <xdr:row>14</xdr:row>
      <xdr:rowOff>114300</xdr:rowOff>
    </xdr:from>
    <xdr:to>
      <xdr:col>4</xdr:col>
      <xdr:colOff>419100</xdr:colOff>
      <xdr:row>18</xdr:row>
      <xdr:rowOff>12700</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3B068B58-2A9E-9CE4-94CD-27699A946BDD}"/>
            </a:ext>
          </a:extLst>
        </xdr:cNvPr>
        <xdr:cNvSpPr/>
      </xdr:nvSpPr>
      <xdr:spPr>
        <a:xfrm>
          <a:off x="57150" y="2692400"/>
          <a:ext cx="2800350" cy="635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t>Hospital</a:t>
          </a:r>
          <a:r>
            <a:rPr lang="en-IN" sz="2400" b="1" baseline="0"/>
            <a:t> Dashboard</a:t>
          </a:r>
        </a:p>
        <a:p>
          <a:pPr algn="l"/>
          <a:endParaRPr lang="en-IN" sz="1100"/>
        </a:p>
      </xdr:txBody>
    </xdr:sp>
    <xdr:clientData/>
  </xdr:twoCellAnchor>
  <xdr:twoCellAnchor>
    <xdr:from>
      <xdr:col>0</xdr:col>
      <xdr:colOff>76200</xdr:colOff>
      <xdr:row>10</xdr:row>
      <xdr:rowOff>95250</xdr:rowOff>
    </xdr:from>
    <xdr:to>
      <xdr:col>4</xdr:col>
      <xdr:colOff>419100</xdr:colOff>
      <xdr:row>14</xdr:row>
      <xdr:rowOff>69850</xdr:rowOff>
    </xdr:to>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2C010BF5-21AA-C9B0-8674-B2A4C02E8851}"/>
            </a:ext>
          </a:extLst>
        </xdr:cNvPr>
        <xdr:cNvSpPr/>
      </xdr:nvSpPr>
      <xdr:spPr>
        <a:xfrm>
          <a:off x="76200" y="1936750"/>
          <a:ext cx="2781300" cy="711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baseline="0"/>
            <a:t>Add New Patient</a:t>
          </a:r>
        </a:p>
        <a:p>
          <a:pPr algn="l"/>
          <a:endParaRPr lang="en-IN" sz="1100" baseline="0"/>
        </a:p>
        <a:p>
          <a:pPr algn="l"/>
          <a:endParaRPr lang="en-IN" sz="1100"/>
        </a:p>
      </xdr:txBody>
    </xdr:sp>
    <xdr:clientData/>
  </xdr:twoCellAnchor>
  <xdr:twoCellAnchor>
    <xdr:from>
      <xdr:col>0</xdr:col>
      <xdr:colOff>38100</xdr:colOff>
      <xdr:row>18</xdr:row>
      <xdr:rowOff>57150</xdr:rowOff>
    </xdr:from>
    <xdr:to>
      <xdr:col>4</xdr:col>
      <xdr:colOff>393700</xdr:colOff>
      <xdr:row>21</xdr:row>
      <xdr:rowOff>127000</xdr:rowOff>
    </xdr:to>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225240BE-E06D-36FA-7648-5E046EE77552}"/>
            </a:ext>
          </a:extLst>
        </xdr:cNvPr>
        <xdr:cNvSpPr/>
      </xdr:nvSpPr>
      <xdr:spPr>
        <a:xfrm>
          <a:off x="38100" y="3371850"/>
          <a:ext cx="2794000" cy="622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t>Patient Dashboard</a:t>
          </a:r>
        </a:p>
        <a:p>
          <a:pPr algn="l"/>
          <a:endParaRPr lang="en-IN" sz="1100"/>
        </a:p>
      </xdr:txBody>
    </xdr:sp>
    <xdr:clientData/>
  </xdr:twoCellAnchor>
  <xdr:twoCellAnchor>
    <xdr:from>
      <xdr:col>0</xdr:col>
      <xdr:colOff>63500</xdr:colOff>
      <xdr:row>6</xdr:row>
      <xdr:rowOff>127000</xdr:rowOff>
    </xdr:from>
    <xdr:to>
      <xdr:col>4</xdr:col>
      <xdr:colOff>412750</xdr:colOff>
      <xdr:row>10</xdr:row>
      <xdr:rowOff>38100</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7E8D8E91-BC90-4035-0EE0-D655F63BDE18}"/>
            </a:ext>
          </a:extLst>
        </xdr:cNvPr>
        <xdr:cNvSpPr/>
      </xdr:nvSpPr>
      <xdr:spPr>
        <a:xfrm>
          <a:off x="63500" y="1231900"/>
          <a:ext cx="2787650"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t>Search</a:t>
          </a:r>
          <a:r>
            <a:rPr lang="en-IN" sz="2800" b="1" baseline="0"/>
            <a:t> Patient</a:t>
          </a:r>
        </a:p>
        <a:p>
          <a:pPr algn="l"/>
          <a:endParaRPr lang="en-IN" sz="1100"/>
        </a:p>
      </xdr:txBody>
    </xdr:sp>
    <xdr:clientData/>
  </xdr:twoCellAnchor>
  <xdr:twoCellAnchor>
    <xdr:from>
      <xdr:col>0</xdr:col>
      <xdr:colOff>222250</xdr:colOff>
      <xdr:row>22</xdr:row>
      <xdr:rowOff>88900</xdr:rowOff>
    </xdr:from>
    <xdr:to>
      <xdr:col>2</xdr:col>
      <xdr:colOff>38100</xdr:colOff>
      <xdr:row>24</xdr:row>
      <xdr:rowOff>95250</xdr:rowOff>
    </xdr:to>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7BA96622-9CF0-39C8-CD16-E2976B8CD78B}"/>
            </a:ext>
          </a:extLst>
        </xdr:cNvPr>
        <xdr:cNvSpPr/>
      </xdr:nvSpPr>
      <xdr:spPr>
        <a:xfrm>
          <a:off x="222250" y="4140200"/>
          <a:ext cx="1035050" cy="374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Cleaned Data</a:t>
          </a:r>
        </a:p>
      </xdr:txBody>
    </xdr:sp>
    <xdr:clientData/>
  </xdr:twoCellAnchor>
  <xdr:twoCellAnchor>
    <xdr:from>
      <xdr:col>2</xdr:col>
      <xdr:colOff>171450</xdr:colOff>
      <xdr:row>22</xdr:row>
      <xdr:rowOff>76200</xdr:rowOff>
    </xdr:from>
    <xdr:to>
      <xdr:col>4</xdr:col>
      <xdr:colOff>69850</xdr:colOff>
      <xdr:row>24</xdr:row>
      <xdr:rowOff>88900</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6DF38B25-DB0E-C3FF-7A00-CD7ED228BFCF}"/>
            </a:ext>
          </a:extLst>
        </xdr:cNvPr>
        <xdr:cNvSpPr/>
      </xdr:nvSpPr>
      <xdr:spPr>
        <a:xfrm>
          <a:off x="1390650" y="4127500"/>
          <a:ext cx="11176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Raw Data</a:t>
          </a:r>
        </a:p>
        <a:p>
          <a:pPr algn="l"/>
          <a:endParaRPr lang="en-IN"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25400</xdr:colOff>
      <xdr:row>4</xdr:row>
      <xdr:rowOff>19050</xdr:rowOff>
    </xdr:from>
    <xdr:to>
      <xdr:col>10</xdr:col>
      <xdr:colOff>603250</xdr:colOff>
      <xdr:row>19</xdr:row>
      <xdr:rowOff>0</xdr:rowOff>
    </xdr:to>
    <xdr:graphicFrame macro="">
      <xdr:nvGraphicFramePr>
        <xdr:cNvPr id="3" name="Chart 2">
          <a:extLst>
            <a:ext uri="{FF2B5EF4-FFF2-40B4-BE49-F238E27FC236}">
              <a16:creationId xmlns:a16="http://schemas.microsoft.com/office/drawing/2014/main" id="{40560C0D-8460-46AB-A20E-B2E6BA4A4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387350</xdr:colOff>
      <xdr:row>19</xdr:row>
      <xdr:rowOff>31750</xdr:rowOff>
    </xdr:from>
    <xdr:to>
      <xdr:col>10</xdr:col>
      <xdr:colOff>603250</xdr:colOff>
      <xdr:row>28</xdr:row>
      <xdr:rowOff>117475</xdr:rowOff>
    </xdr:to>
    <mc:AlternateContent xmlns:mc="http://schemas.openxmlformats.org/markup-compatibility/2006" xmlns:a14="http://schemas.microsoft.com/office/drawing/2010/main">
      <mc:Choice Requires="a14">
        <xdr:graphicFrame macro="">
          <xdr:nvGraphicFramePr>
            <xdr:cNvPr id="4" name="DEPARTMENT 4">
              <a:extLst>
                <a:ext uri="{FF2B5EF4-FFF2-40B4-BE49-F238E27FC236}">
                  <a16:creationId xmlns:a16="http://schemas.microsoft.com/office/drawing/2014/main" id="{7B075D13-BA60-4992-8B11-76354E4275A3}"/>
                </a:ext>
              </a:extLst>
            </xdr:cNvPr>
            <xdr:cNvGraphicFramePr/>
          </xdr:nvGraphicFramePr>
          <xdr:xfrm>
            <a:off x="0" y="0"/>
            <a:ext cx="0" cy="0"/>
          </xdr:xfrm>
          <a:graphic>
            <a:graphicData uri="http://schemas.microsoft.com/office/drawing/2010/slicer">
              <sle:slicer xmlns:sle="http://schemas.microsoft.com/office/drawing/2010/slicer" name="DEPARTMENT 4"/>
            </a:graphicData>
          </a:graphic>
        </xdr:graphicFrame>
      </mc:Choice>
      <mc:Fallback xmlns="">
        <xdr:sp macro="" textlink="">
          <xdr:nvSpPr>
            <xdr:cNvPr id="0" name=""/>
            <xdr:cNvSpPr>
              <a:spLocks noTextEdit="1"/>
            </xdr:cNvSpPr>
          </xdr:nvSpPr>
          <xdr:spPr>
            <a:xfrm>
              <a:off x="2216150" y="3530600"/>
              <a:ext cx="4483100" cy="1743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6350</xdr:colOff>
      <xdr:row>4</xdr:row>
      <xdr:rowOff>19050</xdr:rowOff>
    </xdr:from>
    <xdr:to>
      <xdr:col>20</xdr:col>
      <xdr:colOff>25400</xdr:colOff>
      <xdr:row>19</xdr:row>
      <xdr:rowOff>0</xdr:rowOff>
    </xdr:to>
    <xdr:graphicFrame macro="">
      <xdr:nvGraphicFramePr>
        <xdr:cNvPr id="5" name="Chart 4">
          <a:extLst>
            <a:ext uri="{FF2B5EF4-FFF2-40B4-BE49-F238E27FC236}">
              <a16:creationId xmlns:a16="http://schemas.microsoft.com/office/drawing/2014/main" id="{5198EBAA-6F70-4D6F-8891-A739ABA64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38100</xdr:colOff>
      <xdr:row>19</xdr:row>
      <xdr:rowOff>38101</xdr:rowOff>
    </xdr:from>
    <xdr:to>
      <xdr:col>16</xdr:col>
      <xdr:colOff>184150</xdr:colOff>
      <xdr:row>28</xdr:row>
      <xdr:rowOff>88901</xdr:rowOff>
    </xdr:to>
    <mc:AlternateContent xmlns:mc="http://schemas.openxmlformats.org/markup-compatibility/2006" xmlns:a14="http://schemas.microsoft.com/office/drawing/2010/main">
      <mc:Choice Requires="a14">
        <xdr:graphicFrame macro="">
          <xdr:nvGraphicFramePr>
            <xdr:cNvPr id="6" name="DEPARTMENT 5">
              <a:extLst>
                <a:ext uri="{FF2B5EF4-FFF2-40B4-BE49-F238E27FC236}">
                  <a16:creationId xmlns:a16="http://schemas.microsoft.com/office/drawing/2014/main" id="{BC2E34BA-6F57-4293-AFEB-EFD332289EE8}"/>
                </a:ext>
              </a:extLst>
            </xdr:cNvPr>
            <xdr:cNvGraphicFramePr/>
          </xdr:nvGraphicFramePr>
          <xdr:xfrm>
            <a:off x="0" y="0"/>
            <a:ext cx="0" cy="0"/>
          </xdr:xfrm>
          <a:graphic>
            <a:graphicData uri="http://schemas.microsoft.com/office/drawing/2010/slicer">
              <sle:slicer xmlns:sle="http://schemas.microsoft.com/office/drawing/2010/slicer" name="DEPARTMENT 5"/>
            </a:graphicData>
          </a:graphic>
        </xdr:graphicFrame>
      </mc:Choice>
      <mc:Fallback xmlns="">
        <xdr:sp macro="" textlink="">
          <xdr:nvSpPr>
            <xdr:cNvPr id="0" name=""/>
            <xdr:cNvSpPr>
              <a:spLocks noTextEdit="1"/>
            </xdr:cNvSpPr>
          </xdr:nvSpPr>
          <xdr:spPr>
            <a:xfrm>
              <a:off x="7353300" y="3536951"/>
              <a:ext cx="2584450" cy="1708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520700</xdr:colOff>
      <xdr:row>23</xdr:row>
      <xdr:rowOff>12700</xdr:rowOff>
    </xdr:from>
    <xdr:to>
      <xdr:col>20</xdr:col>
      <xdr:colOff>12700</xdr:colOff>
      <xdr:row>26</xdr:row>
      <xdr:rowOff>127000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5F8C1934-2420-9954-189A-5C905E99D73E}"/>
            </a:ext>
          </a:extLst>
        </xdr:cNvPr>
        <xdr:cNvSpPr/>
      </xdr:nvSpPr>
      <xdr:spPr>
        <a:xfrm>
          <a:off x="10274300" y="4248150"/>
          <a:ext cx="1930400" cy="666750"/>
        </a:xfrm>
        <a:prstGeom prst="roundRect">
          <a:avLst/>
        </a:prstGeom>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t>Home</a:t>
          </a:r>
        </a:p>
        <a:p>
          <a:pPr algn="l"/>
          <a:endParaRPr lang="en-IN"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036454050925" backgroundQuery="1" createdVersion="8" refreshedVersion="8" minRefreshableVersion="3" recordCount="0" supportSubquery="1" supportAdvancedDrill="1" xr:uid="{30487EA3-EAA7-4B9C-B6E2-9883B48FCF95}">
  <cacheSource type="external" connectionId="1"/>
  <cacheFields count="3">
    <cacheField name="[Range 1].[DOCTOR].[DOCTOR]" caption="DOCTOR" numFmtId="0" hierarchy="16" level="1">
      <sharedItems count="6">
        <s v="Dr. Das"/>
        <s v="Dr. Ghosh"/>
        <s v="Dr. Khan"/>
        <s v="Dr. Roy"/>
        <s v="Dr. Sen"/>
        <s v="UNKNOWN"/>
      </sharedItems>
    </cacheField>
    <cacheField name="[Range 1].[SEX].[SEX]" caption="SEX" numFmtId="0" hierarchy="14" level="1">
      <sharedItems count="3">
        <s v="Female"/>
        <s v="Male"/>
        <s v="UNKNOWN"/>
      </sharedItems>
    </cacheField>
    <cacheField name="[Measures].[Count of ID]" caption="Count of ID" numFmtId="0" hierarchy="60" level="32767"/>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2" memberValueDatatype="130" unbalanced="0">
      <fieldsUsage count="2">
        <fieldUsage x="-1"/>
        <fieldUsage x="1"/>
      </fieldsUsage>
    </cacheHierarchy>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2" memberValueDatatype="130" unbalanced="0">
      <fieldsUsage count="2">
        <fieldUsage x="-1"/>
        <fieldUsage x="0"/>
      </fieldsUsage>
    </cacheHierarchy>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0"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032800925925" backgroundQuery="1" createdVersion="8" refreshedVersion="8" minRefreshableVersion="3" recordCount="0" supportSubquery="1" supportAdvancedDrill="1" xr:uid="{97104BE6-DF42-4C51-920A-05455C06A3BE}">
  <cacheSource type="external" connectionId="1"/>
  <cacheFields count="5">
    <cacheField name="[Range 1].[DEPARTMENT].[DEPARTMENT]" caption="DEPARTMENT" numFmtId="0" hierarchy="15" level="1">
      <sharedItems count="4">
        <s v="General"/>
        <s v="Neurology"/>
        <s v="Orthopedics"/>
        <s v="Pediatrics"/>
      </sharedItems>
    </cacheField>
    <cacheField name="[Range 1].[INSURANCE].[INSURANCE]" caption="INSURANCE" numFmtId="0" hierarchy="20" level="1">
      <sharedItems count="3">
        <s v="No"/>
        <s v="Yes"/>
        <s v="UNKNOWN" u="1"/>
      </sharedItems>
    </cacheField>
    <cacheField name="[Measures].[Count of ID]" caption="Count of ID" numFmtId="0" hierarchy="60" level="32767"/>
    <cacheField name="[Range 1].[DOCTOR].[DOCTOR]" caption="DOCTOR" numFmtId="0" hierarchy="16" level="1">
      <sharedItems containsSemiMixedTypes="0" containsNonDate="0" containsString="0"/>
    </cacheField>
    <cacheField name="[Range 1].[PAYMENT].[PAYMENT]" caption="PAYMENT" numFmtId="0" hierarchy="21" level="1">
      <sharedItems containsSemiMixedTypes="0" containsNonDate="0" containsString="0"/>
    </cacheField>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2" memberValueDatatype="130" unbalanced="0">
      <fieldsUsage count="2">
        <fieldUsage x="-1"/>
        <fieldUsage x="0"/>
      </fieldsUsage>
    </cacheHierarchy>
    <cacheHierarchy uniqueName="[Range 1].[DOCTOR]" caption="DOCTOR" attribute="1" defaultMemberUniqueName="[Range 1].[DOCTOR].[All]" allUniqueName="[Range 1].[DOCTOR].[All]" dimensionUniqueName="[Range 1]" displayFolder="" count="2" memberValueDatatype="130" unbalanced="0">
      <fieldsUsage count="2">
        <fieldUsage x="-1"/>
        <fieldUsage x="3"/>
      </fieldsUsage>
    </cacheHierarchy>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2" memberValueDatatype="130" unbalanced="0">
      <fieldsUsage count="2">
        <fieldUsage x="-1"/>
        <fieldUsage x="1"/>
      </fieldsUsage>
    </cacheHierarchy>
    <cacheHierarchy uniqueName="[Range 1].[PAYMENT]" caption="PAYMENT" attribute="1" defaultMemberUniqueName="[Range 1].[PAYMENT].[All]" allUniqueName="[Range 1].[PAYMENT].[All]" dimensionUniqueName="[Range 1]" displayFolder="" count="2" memberValueDatatype="130" unbalanced="0">
      <fieldsUsage count="2">
        <fieldUsage x="-1"/>
        <fieldUsage x="4"/>
      </fieldsUsage>
    </cacheHierarchy>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0"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2.304821874997" backgroundQuery="1" createdVersion="8" refreshedVersion="8" minRefreshableVersion="3" recordCount="0" supportSubquery="1" supportAdvancedDrill="1" xr:uid="{6FA71298-6A18-45E1-9372-36761A2272C8}">
  <cacheSource type="external" connectionId="1"/>
  <cacheFields count="3">
    <cacheField name="[Range 3].[DEPARTMENT].[DEPARTMENT]" caption="DEPARTMENT" numFmtId="0" hierarchy="40" level="1">
      <sharedItems containsBlank="1" count="6">
        <m/>
        <s v="Cardiology"/>
        <s v="General"/>
        <s v="Neurology"/>
        <s v="Orthopedics"/>
        <s v="Pediatrics"/>
      </sharedItems>
    </cacheField>
    <cacheField name="[Measures].[Average of LOS]" caption="Average of LOS" numFmtId="0" hierarchy="63" level="32767"/>
    <cacheField name="[Range 2].[DEPARTMENT].[DEPARTMENT]" caption="DEPARTMENT" numFmtId="0" hierarchy="26" level="1">
      <sharedItems containsSemiMixedTypes="0" containsNonDate="0" containsString="0"/>
    </cacheField>
  </cacheFields>
  <cacheHierarchies count="64">
    <cacheHierarchy uniqueName="[Range].[ID]" caption="ID" attribute="1" defaultMemberUniqueName="[Range].[ID].[All]" allUniqueName="[Range].[ID].[All]" dimensionUniqueName="[Range]" displayFolder="" count="2" memberValueDatatype="130" unbalanced="0"/>
    <cacheHierarchy uniqueName="[Range].[NAME]" caption="NAME" attribute="1" defaultMemberUniqueName="[Range].[NAME].[All]" allUniqueName="[Range].[NAME].[All]" dimensionUniqueName="[Range]" displayFolder="" count="2" memberValueDatatype="130" unbalanced="0"/>
    <cacheHierarchy uniqueName="[Range].[AGE]" caption="AGE" attribute="1" defaultMemberUniqueName="[Range].[AGE].[All]" allUniqueName="[Range].[AGE].[All]" dimensionUniqueName="[Range]" displayFolder="" count="2" memberValueDatatype="130" unbalanced="0"/>
    <cacheHierarchy uniqueName="[Range].[SEX]" caption="SEX" attribute="1" defaultMemberUniqueName="[Range].[SEX].[All]" allUniqueName="[Range].[SEX].[All]" dimensionUniqueName="[Range]" displayFolder="" count="2" memberValueDatatype="130" unbalanced="0"/>
    <cacheHierarchy uniqueName="[Range].[DEPARTMENT]" caption="DEPARTMENT" attribute="1" defaultMemberUniqueName="[Range].[DEPARTMENT].[All]" allUniqueName="[Range].[DEPARTMENT].[All]" dimensionUniqueName="[Range]" displayFolder="" count="2" memberValueDatatype="130" unbalanced="0"/>
    <cacheHierarchy uniqueName="[Range].[DOCTOR]" caption="DOCTOR" attribute="1" defaultMemberUniqueName="[Range].[DOCTOR].[All]" allUniqueName="[Range].[DOCTOR].[All]" dimensionUniqueName="[Range]" displayFolder="" count="2" memberValueDatatype="130" unbalanced="0"/>
    <cacheHierarchy uniqueName="[Range].[ADMIT_DATE]" caption="ADMIT_DATE" attribute="1" defaultMemberUniqueName="[Range].[ADMIT_DATE].[All]" allUniqueName="[Range].[ADMIT_DATE].[All]" dimensionUniqueName="[Range]" displayFolder="" count="2" memberValueDatatype="130" unbalanced="0"/>
    <cacheHierarchy uniqueName="[Range].[DISCHARGE_DATE]" caption="DISCHARGE_DATE" attribute="1" defaultMemberUniqueName="[Range].[DISCHARGE_DATE].[All]" allUniqueName="[Range].[DISCHARGE_DATE].[All]" dimensionUniqueName="[Range]" displayFolder="" count="2" memberValueDatatype="130" unbalanced="0"/>
    <cacheHierarchy uniqueName="[Range].[TOTAL_COST]" caption="TOTAL_COST" attribute="1" defaultMemberUniqueName="[Range].[TOTAL_COST].[All]" allUniqueName="[Range].[TOTAL_COST].[All]" dimensionUniqueName="[Range]" displayFolder="" count="2" memberValueDatatype="20" unbalanced="0"/>
    <cacheHierarchy uniqueName="[Range].[INSURANCE]" caption="INSURANCE" attribute="1" defaultMemberUniqueName="[Range].[INSURANCE].[All]" allUniqueName="[Range].[INSURANCE].[All]" dimensionUniqueName="[Range]" displayFolder="" count="2" memberValueDatatype="130" unbalanced="0"/>
    <cacheHierarchy uniqueName="[Range].[PAYMENT]" caption="PAYMENT" attribute="1" defaultMemberUniqueName="[Range].[PAYMENT].[All]" allUniqueName="[Range].[PAYMENT].[All]" dimensionUniqueName="[Range]" displayFolder="" count="2" memberValueDatatype="130" unbalanced="0"/>
    <cacheHierarchy uniqueName="[Range 1].[ID]" caption="ID" attribute="1" defaultMemberUniqueName="[Range 1].[ID].[All]" allUniqueName="[Range 1].[ID].[All]" dimensionUniqueName="[Range 1]" displayFolder="" count="2" memberValueDatatype="130" unbalanced="0"/>
    <cacheHierarchy uniqueName="[Range 1].[NAME]" caption="NAME" attribute="1" defaultMemberUniqueName="[Range 1].[NAME].[All]" allUniqueName="[Range 1].[NAME].[All]" dimensionUniqueName="[Range 1]" displayFolder="" count="2" memberValueDatatype="130" unbalanced="0"/>
    <cacheHierarchy uniqueName="[Range 1].[AGE]" caption="AGE" attribute="1" defaultMemberUniqueName="[Range 1].[AGE].[All]" allUniqueName="[Range 1].[AGE].[All]" dimensionUniqueName="[Range 1]" displayFolder="" count="2" memberValueDatatype="130" unbalanced="0"/>
    <cacheHierarchy uniqueName="[Range 1].[SEX]" caption="SEX" attribute="1" defaultMemberUniqueName="[Range 1].[SEX].[All]" allUniqueName="[Range 1].[SEX].[All]" dimensionUniqueName="[Range 1]" displayFolder="" count="2" memberValueDatatype="130" unbalanced="0"/>
    <cacheHierarchy uniqueName="[Range 1].[DEPARTMENT]" caption="DEPARTMENT" attribute="1" defaultMemberUniqueName="[Range 1].[DEPARTMENT].[All]" allUniqueName="[Range 1].[DEPARTMENT].[All]" dimensionUniqueName="[Range 1]" displayFolder="" count="2" memberValueDatatype="130" unbalanced="0"/>
    <cacheHierarchy uniqueName="[Range 1].[DOCTOR]" caption="DOCTOR" attribute="1" defaultMemberUniqueName="[Range 1].[DOCTOR].[All]" allUniqueName="[Range 1].[DOCTOR].[All]" dimensionUniqueName="[Range 1]" displayFolder="" count="2" memberValueDatatype="130" unbalanced="0"/>
    <cacheHierarchy uniqueName="[Range 1].[ADMIT_DATE]" caption="ADMIT_DATE" attribute="1" defaultMemberUniqueName="[Range 1].[ADMIT_DATE].[All]" allUniqueName="[Range 1].[ADMIT_DATE].[All]" dimensionUniqueName="[Range 1]" displayFolder="" count="2" memberValueDatatype="130" unbalanced="0"/>
    <cacheHierarchy uniqueName="[Range 1].[DISCHARGE_DATE]" caption="DISCHARGE_DATE" attribute="1" defaultMemberUniqueName="[Range 1].[DISCHARGE_DATE].[All]" allUniqueName="[Range 1].[DISCHARGE_DATE].[All]" dimensionUniqueName="[Range 1]" displayFolder="" count="2" memberValueDatatype="130" unbalanced="0"/>
    <cacheHierarchy uniqueName="[Range 1].[TOTAL_COST]" caption="TOTAL_COST" attribute="1" defaultMemberUniqueName="[Range 1].[TOTAL_COST].[All]" allUniqueName="[Range 1].[TOTAL_COST].[All]" dimensionUniqueName="[Range 1]" displayFolder="" count="2" memberValueDatatype="20" unbalanced="0"/>
    <cacheHierarchy uniqueName="[Range 1].[INSURANCE]" caption="INSURANCE" attribute="1" defaultMemberUniqueName="[Range 1].[INSURANCE].[All]" allUniqueName="[Range 1].[INSURANCE].[All]" dimensionUniqueName="[Range 1]" displayFolder="" count="2" memberValueDatatype="130" unbalanced="0"/>
    <cacheHierarchy uniqueName="[Range 1].[PAYMENT]" caption="PAYMENT" attribute="1" defaultMemberUniqueName="[Range 1].[PAYMENT].[All]" allUniqueName="[Range 1].[PAYMENT].[All]" dimensionUniqueName="[Range 1]" displayFolder="" count="2" memberValueDatatype="130" unbalanced="0"/>
    <cacheHierarchy uniqueName="[Range 2].[ID]" caption="ID" attribute="1" defaultMemberUniqueName="[Range 2].[ID].[All]" allUniqueName="[Range 2].[ID].[All]" dimensionUniqueName="[Range 2]" displayFolder="" count="2" memberValueDatatype="130" unbalanced="0"/>
    <cacheHierarchy uniqueName="[Range 2].[NAME]" caption="NAME" attribute="1" defaultMemberUniqueName="[Range 2].[NAME].[All]" allUniqueName="[Range 2].[NAME].[All]" dimensionUniqueName="[Range 2]" displayFolder="" count="2" memberValueDatatype="130" unbalanced="0"/>
    <cacheHierarchy uniqueName="[Range 2].[AGE]" caption="AGE" attribute="1" defaultMemberUniqueName="[Range 2].[AGE].[All]" allUniqueName="[Range 2].[AGE].[All]" dimensionUniqueName="[Range 2]" displayFolder="" count="2" memberValueDatatype="130" unbalanced="0"/>
    <cacheHierarchy uniqueName="[Range 2].[SEX]" caption="SEX" attribute="1" defaultMemberUniqueName="[Range 2].[SEX].[All]" allUniqueName="[Range 2].[SEX].[All]" dimensionUniqueName="[Range 2]" displayFolder="" count="2" memberValueDatatype="130" unbalanced="0"/>
    <cacheHierarchy uniqueName="[Range 2].[DEPARTMENT]" caption="DEPARTMENT" attribute="1" defaultMemberUniqueName="[Range 2].[DEPARTMENT].[All]" allUniqueName="[Range 2].[DEPARTMENT].[All]" dimensionUniqueName="[Range 2]" displayFolder="" count="2" memberValueDatatype="130" unbalanced="0">
      <fieldsUsage count="2">
        <fieldUsage x="-1"/>
        <fieldUsage x="2"/>
      </fieldsUsage>
    </cacheHierarchy>
    <cacheHierarchy uniqueName="[Range 2].[DOCTOR_NAME]" caption="DOCTOR_NAME" attribute="1" defaultMemberUniqueName="[Range 2].[DOCTOR_NAME].[All]" allUniqueName="[Range 2].[DOCTOR_NAME].[All]" dimensionUniqueName="[Range 2]" displayFolder="" count="2" memberValueDatatype="130" unbalanced="0"/>
    <cacheHierarchy uniqueName="[Range 2].[ADMIT_DATE]" caption="ADMIT_DATE" attribute="1" defaultMemberUniqueName="[Range 2].[ADMIT_DATE].[All]" allUniqueName="[Range 2].[ADMIT_DATE].[All]" dimensionUniqueName="[Range 2]" displayFolder="" count="2" memberValueDatatype="130" unbalanced="0"/>
    <cacheHierarchy uniqueName="[Range 2].[DISCHARGE_DATE]" caption="DISCHARGE_DATE" attribute="1" defaultMemberUniqueName="[Range 2].[DISCHARGE_DATE].[All]" allUniqueName="[Range 2].[DISCHARGE_DATE].[All]" dimensionUniqueName="[Range 2]" displayFolder="" count="2" memberValueDatatype="130" unbalanced="0"/>
    <cacheHierarchy uniqueName="[Range 2].[TREATMENT_COST]" caption="TREATMENT_COST" attribute="1" defaultMemberUniqueName="[Range 2].[TREATMENT_COST].[All]" allUniqueName="[Range 2].[TREATMENT_COST].[All]" dimensionUniqueName="[Range 2]" displayFolder="" count="2" memberValueDatatype="130" unbalanced="0"/>
    <cacheHierarchy uniqueName="[Range 2].[MEDICINE_COST]" caption="MEDICINE_COST" attribute="1" defaultMemberUniqueName="[Range 2].[MEDICINE_COST].[All]" allUniqueName="[Range 2].[MEDICINE_COST].[All]" dimensionUniqueName="[Range 2]" displayFolder="" count="2" memberValueDatatype="130" unbalanced="0"/>
    <cacheHierarchy uniqueName="[Range 2].[ROOM_COST]" caption="ROOM_COST" attribute="1" defaultMemberUniqueName="[Range 2].[ROOM_COST].[All]" allUniqueName="[Range 2].[ROOM_COST].[All]" dimensionUniqueName="[Range 2]" displayFolder="" count="2" memberValueDatatype="130" unbalanced="0"/>
    <cacheHierarchy uniqueName="[Range 2].[TOTAL_COST]" caption="TOTAL_COST" attribute="1" defaultMemberUniqueName="[Range 2].[TOTAL_COST].[All]" allUniqueName="[Range 2].[TOTAL_COST].[All]" dimensionUniqueName="[Range 2]" displayFolder="" count="2" memberValueDatatype="20" unbalanced="0"/>
    <cacheHierarchy uniqueName="[Range 2].[INSURANCE]" caption="INSURANCE" attribute="1" defaultMemberUniqueName="[Range 2].[INSURANCE].[All]" allUniqueName="[Range 2].[INSURANCE].[All]" dimensionUniqueName="[Range 2]" displayFolder="" count="2" memberValueDatatype="130" unbalanced="0"/>
    <cacheHierarchy uniqueName="[Range 2].[PAYMENT]" caption="PAYMENT" attribute="1" defaultMemberUniqueName="[Range 2].[PAYMENT].[All]" allUniqueName="[Range 2].[PAYMENT].[All]" dimensionUniqueName="[Range 2]" displayFolder="" count="2" memberValueDatatype="130" unbalanced="0"/>
    <cacheHierarchy uniqueName="[Range 2].[CURRENT_STATUS]" caption="CURRENT_STATUS" attribute="1" defaultMemberUniqueName="[Range 2].[CURRENT_STATUS].[All]" allUniqueName="[Range 2].[CURRENT_STATUS].[All]" dimensionUniqueName="[Range 2]" displayFolder="" count="2" memberValueDatatype="130" unbalanced="0"/>
    <cacheHierarchy uniqueName="[Range 2].[DAYS_OUTSTANDING]" caption="DAYS_OUTSTANDING" attribute="1" defaultMemberUniqueName="[Range 2].[DAYS_OUTSTANDING].[All]" allUniqueName="[Range 2].[DAYS_OUTSTANDING].[All]" dimensionUniqueName="[Range 2]" displayFolder="" count="2" memberValueDatatype="130" unbalanced="0"/>
    <cacheHierarchy uniqueName="[Range 2].[AGING_BUCKET]" caption="AGING_BUCKET" attribute="1" defaultMemberUniqueName="[Range 2].[AGING_BUCKET].[All]" allUniqueName="[Range 2].[AGING_BUCKET].[All]" dimensionUniqueName="[Range 2]" displayFolder="" count="2" memberValueDatatype="130" unbalanced="0"/>
    <cacheHierarchy uniqueName="[Range 3].[SEX]" caption="SEX" attribute="1" defaultMemberUniqueName="[Range 3].[SEX].[All]" allUniqueName="[Range 3].[SEX].[All]" dimensionUniqueName="[Range 3]" displayFolder="" count="2" memberValueDatatype="130" unbalanced="0"/>
    <cacheHierarchy uniqueName="[Range 3].[DEPARTMENT]" caption="DEPARTMENT" attribute="1" defaultMemberUniqueName="[Range 3].[DEPARTMENT].[All]" allUniqueName="[Range 3].[DEPARTMENT].[All]" dimensionUniqueName="[Range 3]" displayFolder="" count="2" memberValueDatatype="130" unbalanced="0">
      <fieldsUsage count="2">
        <fieldUsage x="-1"/>
        <fieldUsage x="0"/>
      </fieldsUsage>
    </cacheHierarchy>
    <cacheHierarchy uniqueName="[Range 3].[DOCTOR_NAME]" caption="DOCTOR_NAME" attribute="1" defaultMemberUniqueName="[Range 3].[DOCTOR_NAME].[All]" allUniqueName="[Range 3].[DOCTOR_NAME].[All]" dimensionUniqueName="[Range 3]" displayFolder="" count="2" memberValueDatatype="130" unbalanced="0"/>
    <cacheHierarchy uniqueName="[Range 3].[ADMIT_DATE]" caption="ADMIT_DATE" attribute="1" defaultMemberUniqueName="[Range 3].[ADMIT_DATE].[All]" allUniqueName="[Range 3].[ADMIT_DATE].[All]" dimensionUniqueName="[Range 3]" displayFolder="" count="2" memberValueDatatype="130" unbalanced="0"/>
    <cacheHierarchy uniqueName="[Range 3].[DISCHARGE_DATE]" caption="DISCHARGE_DATE" attribute="1" defaultMemberUniqueName="[Range 3].[DISCHARGE_DATE].[All]" allUniqueName="[Range 3].[DISCHARGE_DATE].[All]" dimensionUniqueName="[Range 3]" displayFolder="" count="2" memberValueDatatype="130" unbalanced="0"/>
    <cacheHierarchy uniqueName="[Range 3].[TREATMENT_COST]" caption="TREATMENT_COST" attribute="1" defaultMemberUniqueName="[Range 3].[TREATMENT_COST].[All]" allUniqueName="[Range 3].[TREATMENT_COST].[All]" dimensionUniqueName="[Range 3]" displayFolder="" count="2" memberValueDatatype="130" unbalanced="0"/>
    <cacheHierarchy uniqueName="[Range 3].[MEDICINE_COST]" caption="MEDICINE_COST" attribute="1" defaultMemberUniqueName="[Range 3].[MEDICINE_COST].[All]" allUniqueName="[Range 3].[MEDICINE_COST].[All]" dimensionUniqueName="[Range 3]" displayFolder="" count="2" memberValueDatatype="130" unbalanced="0"/>
    <cacheHierarchy uniqueName="[Range 3].[ROOM_COST]" caption="ROOM_COST" attribute="1" defaultMemberUniqueName="[Range 3].[ROOM_COST].[All]" allUniqueName="[Range 3].[ROOM_COST].[All]" dimensionUniqueName="[Range 3]" displayFolder="" count="2" memberValueDatatype="130" unbalanced="0"/>
    <cacheHierarchy uniqueName="[Range 3].[TOTAL_COST]" caption="TOTAL_COST" attribute="1" defaultMemberUniqueName="[Range 3].[TOTAL_COST].[All]" allUniqueName="[Range 3].[TOTAL_COST].[All]" dimensionUniqueName="[Range 3]" displayFolder="" count="2" memberValueDatatype="20" unbalanced="0"/>
    <cacheHierarchy uniqueName="[Range 3].[INSURANCE]" caption="INSURANCE" attribute="1" defaultMemberUniqueName="[Range 3].[INSURANCE].[All]" allUniqueName="[Range 3].[INSURANCE].[All]" dimensionUniqueName="[Range 3]" displayFolder="" count="2" memberValueDatatype="130" unbalanced="0"/>
    <cacheHierarchy uniqueName="[Range 3].[PAYMENT]" caption="PAYMENT" attribute="1" defaultMemberUniqueName="[Range 3].[PAYMENT].[All]" allUniqueName="[Range 3].[PAYMENT].[All]" dimensionUniqueName="[Range 3]" displayFolder="" count="2" memberValueDatatype="130" unbalanced="0"/>
    <cacheHierarchy uniqueName="[Range 3].[CURRENT_STATUS]" caption="CURRENT_STATUS" attribute="1" defaultMemberUniqueName="[Range 3].[CURRENT_STATUS].[All]" allUniqueName="[Range 3].[CURRENT_STATUS].[All]" dimensionUniqueName="[Range 3]" displayFolder="" count="2" memberValueDatatype="130" unbalanced="0"/>
    <cacheHierarchy uniqueName="[Range 3].[DAYS_OUTSTANDING]" caption="DAYS_OUTSTANDING" attribute="1" defaultMemberUniqueName="[Range 3].[DAYS_OUTSTANDING].[All]" allUniqueName="[Range 3].[DAYS_OUTSTANDING].[All]" dimensionUniqueName="[Range 3]" displayFolder="" count="2" memberValueDatatype="20" unbalanced="0"/>
    <cacheHierarchy uniqueName="[Range 3].[AGING_BUCKET]" caption="AGING_BUCKET" attribute="1" defaultMemberUniqueName="[Range 3].[AGING_BUCKET].[All]" allUniqueName="[Range 3].[AGING_BUCKET].[All]" dimensionUniqueName="[Range 3]" displayFolder="" count="2" memberValueDatatype="130" unbalanced="0"/>
    <cacheHierarchy uniqueName="[Range 3].[LOS]" caption="LOS" attribute="1" defaultMemberUniqueName="[Range 3].[LOS].[All]" allUniqueName="[Range 3].[LOS].[All]" dimensionUniqueName="[Range 3]" displayFolder="" count="2"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oneField="1" hidden="1">
      <fieldsUsage count="1">
        <fieldUsage x="1"/>
      </fieldsUsage>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2.304821296297" backgroundQuery="1" createdVersion="8" refreshedVersion="8" minRefreshableVersion="3" recordCount="0" supportSubquery="1" supportAdvancedDrill="1" xr:uid="{22876BF6-8FC2-411D-817D-29110CCC8579}">
  <cacheSource type="external" connectionId="1"/>
  <cacheFields count="5">
    <cacheField name="[Range 2].[AGING_BUCKET].[AGING_BUCKET]" caption="AGING_BUCKET" numFmtId="0" hierarchy="38" level="1">
      <sharedItems count="1">
        <s v="61+ days overdue"/>
      </sharedItems>
    </cacheField>
    <cacheField name="[Measures].[Sum of TOTAL_COST 2]" caption="Sum of TOTAL_COST 2" numFmtId="0" hierarchy="61" level="32767"/>
    <cacheField name="[Range 2].[PAYMENT].[PAYMENT]" caption="PAYMENT" numFmtId="0" hierarchy="35" level="1">
      <sharedItems containsSemiMixedTypes="0" containsNonDate="0" containsString="0"/>
    </cacheField>
    <cacheField name="[Range 3].[DEPARTMENT].[DEPARTMENT]" caption="DEPARTMENT" numFmtId="0" hierarchy="40" level="1">
      <sharedItems containsSemiMixedTypes="0" containsNonDate="0" containsString="0"/>
    </cacheField>
    <cacheField name="[Range 2].[DEPARTMENT].[DEPARTMENT]" caption="DEPARTMENT" numFmtId="0" hierarchy="26" level="1">
      <sharedItems containsSemiMixedTypes="0" containsNonDate="0" containsString="0"/>
    </cacheField>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2" memberValueDatatype="130" unbalanced="0">
      <fieldsUsage count="2">
        <fieldUsage x="-1"/>
        <fieldUsage x="4"/>
      </fieldsUsage>
    </cacheHierarchy>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2" memberValueDatatype="130" unbalanced="0">
      <fieldsUsage count="2">
        <fieldUsage x="-1"/>
        <fieldUsage x="2"/>
      </fieldsUsage>
    </cacheHierarchy>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2" memberValueDatatype="130" unbalanced="0">
      <fieldsUsage count="2">
        <fieldUsage x="-1"/>
        <fieldUsage x="0"/>
      </fieldsUsage>
    </cacheHierarchy>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2" memberValueDatatype="130" unbalanced="0">
      <fieldsUsage count="2">
        <fieldUsage x="-1"/>
        <fieldUsage x="3"/>
      </fieldsUsage>
    </cacheHierarchy>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oneField="1" hidden="1">
      <fieldsUsage count="1">
        <fieldUsage x="1"/>
      </fieldsUsage>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2.309086574074" backgroundQuery="1" createdVersion="8" refreshedVersion="8" minRefreshableVersion="3" recordCount="0" supportSubquery="1" supportAdvancedDrill="1" xr:uid="{20C6E4CD-E04B-4CB1-B47F-DD00BF3870BD}">
  <cacheSource type="external" connectionId="1"/>
  <cacheFields count="4">
    <cacheField name="[Range].[DEPARTMENT].[DEPARTMENT]" caption="DEPARTMENT" numFmtId="0" hierarchy="4" level="1">
      <sharedItems count="6">
        <s v="Cardiology"/>
        <s v="General"/>
        <s v="Neurology"/>
        <s v="Orthopedics"/>
        <s v="Pediatrics"/>
        <s v="UNKNOWN"/>
      </sharedItems>
    </cacheField>
    <cacheField name="[Range].[PAYMENT].[PAYMENT]" caption="PAYMENT" numFmtId="0" hierarchy="10" level="1">
      <sharedItems count="3">
        <s v="Paid"/>
        <s v="Pending"/>
        <s v="UNKNOWN" u="1"/>
      </sharedItems>
    </cacheField>
    <cacheField name="[Measures].[Sum of TOTAL_COST]" caption="Sum of TOTAL_COST" numFmtId="0" hierarchy="59" level="32767"/>
    <cacheField name="[Range].[INSURANCE].[INSURANCE]" caption="INSURANCE" numFmtId="0" hierarchy="9" level="1">
      <sharedItems containsSemiMixedTypes="0" containsNonDate="0" containsString="0"/>
    </cacheField>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2" memberValueDatatype="130" unbalanced="0">
      <fieldsUsage count="2">
        <fieldUsage x="-1"/>
        <fieldUsage x="3"/>
      </fieldsUsage>
    </cacheHierarchy>
    <cacheHierarchy uniqueName="[Range].[PAYMENT]" caption="PAYMENT" attribute="1" defaultMemberUniqueName="[Range].[PAYMENT].[All]" allUniqueName="[Range].[PAYMENT].[All]" dimensionUniqueName="[Range]" displayFolder="" count="2" memberValueDatatype="130" unbalanced="0">
      <fieldsUsage count="2">
        <fieldUsage x="-1"/>
        <fieldUsage x="1"/>
      </fieldsUsage>
    </cacheHierarchy>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0"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oneField="1" hidden="1">
      <fieldsUsage count="1">
        <fieldUsage x="2"/>
      </fieldsUsage>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032623263891" backgroundQuery="1" createdVersion="3" refreshedVersion="8" minRefreshableVersion="3" recordCount="0" supportSubquery="1" supportAdvancedDrill="1" xr:uid="{459F9A7C-01B8-4839-A199-AFAC8E46B771}">
  <cacheSource type="external" connectionId="1">
    <extLst>
      <ext xmlns:x14="http://schemas.microsoft.com/office/spreadsheetml/2009/9/main" uri="{F057638F-6D5F-4e77-A914-E7F072B9BCA8}">
        <x14:sourceConnection name="ThisWorkbookDataModel"/>
      </ext>
    </extLst>
  </cacheSource>
  <cacheFields count="0"/>
  <cacheHierarchies count="62">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2"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2"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licerData="1" pivotCacheId="44077629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561989004629" backgroundQuery="1" createdVersion="3" refreshedVersion="8" minRefreshableVersion="3" recordCount="0" supportSubquery="1" supportAdvancedDrill="1" xr:uid="{27328E4B-98FB-4944-AFAE-553C60716C6D}">
  <cacheSource type="external" connectionId="1">
    <extLst>
      <ext xmlns:x14="http://schemas.microsoft.com/office/spreadsheetml/2009/9/main" uri="{F057638F-6D5F-4e77-A914-E7F072B9BCA8}">
        <x14:sourceConnection name="ThisWorkbookDataModel"/>
      </ext>
    </extLst>
  </cacheSource>
  <cacheFields count="0"/>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2"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extLst>
    <ext xmlns:x14="http://schemas.microsoft.com/office/spreadsheetml/2009/9/main" uri="{725AE2AE-9491-48be-B2B4-4EB974FC3084}">
      <x14:pivotCacheDefinition slicerData="1" pivotCacheId="83345538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089A4F-98E3-46B3-A226-8B787019B3D1}" name="PivotTable2" cacheId="14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3:D11" firstHeaderRow="1" firstDataRow="2" firstDataCol="1"/>
  <pivotFields count="4">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3">
        <item s="1" x="0"/>
        <item s="1" x="1"/>
        <item x="2"/>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1"/>
  </colFields>
  <colItems count="3">
    <i>
      <x/>
    </i>
    <i>
      <x v="1"/>
    </i>
    <i t="grand">
      <x/>
    </i>
  </colItems>
  <dataFields count="1">
    <dataField name="Sum of TOTAL_COST" fld="2" baseField="0" baseItem="0"/>
  </dataField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INSURANCE].&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2!$P$1:$Z$10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547553-2370-4C91-AAD7-E5392FD8F810}" name="PivotTable2" cacheId="1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5" firstHeaderRow="1" firstDataRow="1" firstDataCol="1" rowPageCount="1" colPageCount="1"/>
  <pivotFields count="5">
    <pivotField axis="axisRow" allDrilled="1" subtotalTop="0" showAll="0" dataSourceSort="1" defaultSubtotal="0" defaultAttributeDrillState="1">
      <items count="1">
        <item x="0"/>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Items count="1">
    <i/>
  </colItems>
  <pageFields count="1">
    <pageField fld="2" hier="35" name="[Range 2].[PAYMENT].&amp;" cap="(blank)"/>
  </pageFields>
  <dataFields count="1">
    <dataField name="Sum of TOTAL_COST" fld="1" baseField="0"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2].[DEPARTMENT].&amp;[General]"/>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ange 2].[PAYMENT].&amp;"/>
        <member name="[Range 2].[PAYMENT].&amp;[Pending]"/>
      </members>
    </pivotHierarchy>
    <pivotHierarchy dragToData="1"/>
    <pivotHierarchy dragToData="1"/>
    <pivotHierarchy dragToData="1"/>
    <pivotHierarchy dragToData="1"/>
    <pivotHierarchy multipleItemSelectionAllowed="1" dragToData="1">
      <members count="1" level="1">
        <member name="[Range 3].[DEPARTMENT].&amp;[Neur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_DATA!$A$1:$Q$101">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D3CA71-404B-45C2-A06D-F421918A409C}" name="PivotTable4" cacheId="1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Average of LOS" fld="1" subtotal="average" baseField="0" baseItem="0" numFmtId="1"/>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2].[DEPARTMENT].&amp;[Gener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LOS"/>
  </pivotHierarchies>
  <pivotTableStyleInfo name="PivotStyleLight16" showRowHeaders="1" showColHeaders="1" showRowStripes="0" showColStripes="0" showLastColumn="1"/>
  <rowHierarchiesUsage count="1">
    <rowHierarchyUsage hierarchyUsage="4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_DATA!$D$1:$R$100">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192903-1CA8-49EB-876E-7BA6CDDAD529}" name="PivotTable3" cacheId="13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3:E11" firstHeaderRow="1" firstDataRow="2" firstDataCol="1"/>
  <pivotFields count="3">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7">
    <i>
      <x/>
    </i>
    <i>
      <x v="1"/>
    </i>
    <i>
      <x v="2"/>
    </i>
    <i>
      <x v="3"/>
    </i>
    <i>
      <x v="4"/>
    </i>
    <i>
      <x v="5"/>
    </i>
    <i t="grand">
      <x/>
    </i>
  </rowItems>
  <colFields count="1">
    <field x="1"/>
  </colFields>
  <colItems count="4">
    <i>
      <x/>
    </i>
    <i>
      <x v="1"/>
    </i>
    <i>
      <x v="2"/>
    </i>
    <i t="grand">
      <x/>
    </i>
  </colItems>
  <dataFields count="1">
    <dataField name="Count of ID" fld="2" subtotal="count" baseField="0" baseItem="0"/>
  </dataField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_DATA!$A$1:$K$10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71202A6-9D1A-4F25-AF8C-C4A48ADE6C61}" name="PivotTable4" cacheId="14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3:D9" firstHeaderRow="1" firstDataRow="2" firstDataCol="1"/>
  <pivotFields count="5">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Fields count="1">
    <field x="1"/>
  </colFields>
  <colItems count="3">
    <i>
      <x/>
    </i>
    <i>
      <x v="1"/>
    </i>
    <i t="grand">
      <x/>
    </i>
  </colItems>
  <dataFields count="1">
    <dataField name="Count of ID" fld="2" subtotal="count" baseField="0" baseItem="0"/>
  </dataFields>
  <chartFormats count="21">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2"/>
          </reference>
        </references>
      </pivotArea>
    </chartFormat>
    <chartFormat chart="0" format="2" series="1">
      <pivotArea type="data" outline="0" fieldPosition="0">
        <references count="2">
          <reference field="4294967294" count="1" selected="0">
            <x v="0"/>
          </reference>
          <reference field="1" count="1" selected="0">
            <x v="1"/>
          </reference>
        </references>
      </pivotArea>
    </chartFormat>
    <chartFormat chart="2" format="13" series="1">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3">
          <reference field="4294967294" count="1" selected="0">
            <x v="0"/>
          </reference>
          <reference field="0" count="1" selected="0">
            <x v="0"/>
          </reference>
          <reference field="1" count="1" selected="0">
            <x v="0"/>
          </reference>
        </references>
      </pivotArea>
    </chartFormat>
    <chartFormat chart="2" format="15">
      <pivotArea type="data" outline="0" fieldPosition="0">
        <references count="3">
          <reference field="4294967294" count="1" selected="0">
            <x v="0"/>
          </reference>
          <reference field="0" count="1" selected="0">
            <x v="1"/>
          </reference>
          <reference field="1" count="1" selected="0">
            <x v="0"/>
          </reference>
        </references>
      </pivotArea>
    </chartFormat>
    <chartFormat chart="2" format="16">
      <pivotArea type="data" outline="0" fieldPosition="0">
        <references count="3">
          <reference field="4294967294" count="1" selected="0">
            <x v="0"/>
          </reference>
          <reference field="0" count="1" selected="0">
            <x v="2"/>
          </reference>
          <reference field="1" count="1" selected="0">
            <x v="0"/>
          </reference>
        </references>
      </pivotArea>
    </chartFormat>
    <chartFormat chart="2" format="17">
      <pivotArea type="data" outline="0" fieldPosition="0">
        <references count="3">
          <reference field="4294967294" count="1" selected="0">
            <x v="0"/>
          </reference>
          <reference field="0" count="1" selected="0">
            <x v="3"/>
          </reference>
          <reference field="1" count="1" selected="0">
            <x v="0"/>
          </reference>
        </references>
      </pivotArea>
    </chartFormat>
    <chartFormat chart="2" format="18" series="1">
      <pivotArea type="data" outline="0" fieldPosition="0">
        <references count="2">
          <reference field="4294967294" count="1" selected="0">
            <x v="0"/>
          </reference>
          <reference field="1" count="1" selected="0">
            <x v="1"/>
          </reference>
        </references>
      </pivotArea>
    </chartFormat>
    <chartFormat chart="2" format="19">
      <pivotArea type="data" outline="0" fieldPosition="0">
        <references count="3">
          <reference field="4294967294" count="1" selected="0">
            <x v="0"/>
          </reference>
          <reference field="0" count="1" selected="0">
            <x v="0"/>
          </reference>
          <reference field="1" count="1" selected="0">
            <x v="1"/>
          </reference>
        </references>
      </pivotArea>
    </chartFormat>
    <chartFormat chart="2" format="20">
      <pivotArea type="data" outline="0" fieldPosition="0">
        <references count="3">
          <reference field="4294967294" count="1" selected="0">
            <x v="0"/>
          </reference>
          <reference field="0" count="1" selected="0">
            <x v="1"/>
          </reference>
          <reference field="1" count="1" selected="0">
            <x v="1"/>
          </reference>
        </references>
      </pivotArea>
    </chartFormat>
    <chartFormat chart="2" format="21">
      <pivotArea type="data" outline="0" fieldPosition="0">
        <references count="3">
          <reference field="4294967294" count="1" selected="0">
            <x v="0"/>
          </reference>
          <reference field="0" count="1" selected="0">
            <x v="2"/>
          </reference>
          <reference field="1" count="1" selected="0">
            <x v="1"/>
          </reference>
        </references>
      </pivotArea>
    </chartFormat>
    <chartFormat chart="2" format="22">
      <pivotArea type="data" outline="0" fieldPosition="0">
        <references count="3">
          <reference field="4294967294" count="1" selected="0">
            <x v="0"/>
          </reference>
          <reference field="0" count="1" selected="0">
            <x v="3"/>
          </reference>
          <reference field="1" count="1" selected="0">
            <x v="1"/>
          </reference>
        </references>
      </pivotArea>
    </chartFormat>
    <chartFormat chart="0" format="3">
      <pivotArea type="data" outline="0" fieldPosition="0">
        <references count="3">
          <reference field="4294967294" count="1" selected="0">
            <x v="0"/>
          </reference>
          <reference field="0" count="1" selected="0">
            <x v="0"/>
          </reference>
          <reference field="1" count="1" selected="0">
            <x v="0"/>
          </reference>
        </references>
      </pivotArea>
    </chartFormat>
    <chartFormat chart="0" format="4">
      <pivotArea type="data" outline="0" fieldPosition="0">
        <references count="3">
          <reference field="4294967294" count="1" selected="0">
            <x v="0"/>
          </reference>
          <reference field="0" count="1" selected="0">
            <x v="1"/>
          </reference>
          <reference field="1" count="1" selected="0">
            <x v="0"/>
          </reference>
        </references>
      </pivotArea>
    </chartFormat>
    <chartFormat chart="0" format="5">
      <pivotArea type="data" outline="0" fieldPosition="0">
        <references count="3">
          <reference field="4294967294" count="1" selected="0">
            <x v="0"/>
          </reference>
          <reference field="0" count="1" selected="0">
            <x v="2"/>
          </reference>
          <reference field="1" count="1" selected="0">
            <x v="0"/>
          </reference>
        </references>
      </pivotArea>
    </chartFormat>
    <chartFormat chart="0" format="6">
      <pivotArea type="data" outline="0" fieldPosition="0">
        <references count="3">
          <reference field="4294967294" count="1" selected="0">
            <x v="0"/>
          </reference>
          <reference field="0" count="1" selected="0">
            <x v="3"/>
          </reference>
          <reference field="1" count="1" selected="0">
            <x v="0"/>
          </reference>
        </references>
      </pivotArea>
    </chartFormat>
    <chartFormat chart="0" format="7">
      <pivotArea type="data" outline="0" fieldPosition="0">
        <references count="3">
          <reference field="4294967294" count="1" selected="0">
            <x v="0"/>
          </reference>
          <reference field="0" count="1" selected="0">
            <x v="0"/>
          </reference>
          <reference field="1" count="1" selected="0">
            <x v="1"/>
          </reference>
        </references>
      </pivotArea>
    </chartFormat>
    <chartFormat chart="0" format="8">
      <pivotArea type="data" outline="0" fieldPosition="0">
        <references count="3">
          <reference field="4294967294" count="1" selected="0">
            <x v="0"/>
          </reference>
          <reference field="0" count="1" selected="0">
            <x v="1"/>
          </reference>
          <reference field="1" count="1" selected="0">
            <x v="1"/>
          </reference>
        </references>
      </pivotArea>
    </chartFormat>
    <chartFormat chart="0" format="9">
      <pivotArea type="data" outline="0" fieldPosition="0">
        <references count="3">
          <reference field="4294967294" count="1" selected="0">
            <x v="0"/>
          </reference>
          <reference field="0" count="1" selected="0">
            <x v="2"/>
          </reference>
          <reference field="1" count="1" selected="0">
            <x v="1"/>
          </reference>
        </references>
      </pivotArea>
    </chartFormat>
    <chartFormat chart="0" format="10">
      <pivotArea type="data" outline="0" fieldPosition="0">
        <references count="3">
          <reference field="4294967294" count="1" selected="0">
            <x v="0"/>
          </reference>
          <reference field="0" count="1" selected="0">
            <x v="3"/>
          </reference>
          <reference field="1"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DOCTOR].&amp;[Dr. Das]"/>
      </members>
    </pivotHierarchy>
    <pivotHierarchy dragToData="1"/>
    <pivotHierarchy dragToData="1"/>
    <pivotHierarchy dragToData="1"/>
    <pivotHierarchy dragToData="1"/>
    <pivotHierarchy multipleItemSelectionAllowed="1" dragToData="1">
      <members count="1" level="1">
        <member name="[Range 1].[PAYMENT].&amp;[Pend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_DATA!$A$1:$K$10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CTOR" xr10:uid="{579B34AE-7BA1-42D3-903E-C41DFABEB008}" sourceName="[Range 1].[DOCTOR]">
  <pivotTables>
    <pivotTable tabId="13" name="PivotTable4"/>
  </pivotTables>
  <data>
    <olap pivotCacheId="440776290">
      <levels count="2">
        <level uniqueName="[Range 1].[DOCTOR].[(All)]" sourceCaption="(All)" count="0"/>
        <level uniqueName="[Range 1].[DOCTOR].[DOCTOR]" sourceCaption="DOCTOR" count="6">
          <ranges>
            <range startItem="0">
              <i n="[Range 1].[DOCTOR].&amp;[Dr. Das]" c="Dr. Das"/>
              <i n="[Range 1].[DOCTOR].&amp;[Dr. Ghosh]" c="Dr. Ghosh"/>
              <i n="[Range 1].[DOCTOR].&amp;[Dr. Khan]" c="Dr. Khan"/>
              <i n="[Range 1].[DOCTOR].&amp;[Dr. Roy]" c="Dr. Roy"/>
              <i n="[Range 1].[DOCTOR].&amp;[Dr. Sen]" c="Dr. Sen"/>
              <i n="[Range 1].[DOCTOR].&amp;[UNKNOWN]" c="UNKNOWN"/>
            </range>
          </ranges>
        </level>
      </levels>
      <selections count="1">
        <selection n="[Range 1].[DOCTOR].&amp;[Dr. Das]"/>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BD3E2B82-17DA-4007-87DB-CAE335D5A847}" sourceName="[Range 1].[PAYMENT]">
  <pivotTables>
    <pivotTable tabId="13" name="PivotTable4"/>
  </pivotTables>
  <data>
    <olap pivotCacheId="440776290">
      <levels count="2">
        <level uniqueName="[Range 1].[PAYMENT].[(All)]" sourceCaption="(All)" count="0"/>
        <level uniqueName="[Range 1].[PAYMENT].[PAYMENT]" sourceCaption="PAYMENT" count="3">
          <ranges>
            <range startItem="0">
              <i n="[Range 1].[PAYMENT].&amp;[Paid]" c="Paid"/>
              <i n="[Range 1].[PAYMENT].&amp;[Pending]" c="Pending"/>
              <i n="[Range 1].[PAYMENT].&amp;[UNKNOWN]" c="UNKNOWN" nd="1"/>
            </range>
          </ranges>
        </level>
      </levels>
      <selections count="1">
        <selection n="[Range 1].[PAYMENT].&amp;[Pending]"/>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1B60C5D-23D1-4141-BFFF-0B7740764A34}" sourceName="[Range 1].[DEPARTMENT]">
  <pivotTables>
    <pivotTable tabId="12" name="PivotTable3"/>
  </pivotTables>
  <data>
    <olap pivotCacheId="440776290">
      <levels count="2">
        <level uniqueName="[Range 1].[DEPARTMENT].[(All)]" sourceCaption="(All)" count="0"/>
        <level uniqueName="[Range 1].[DEPARTMENT].[DEPARTMENT]" sourceCaption="DEPARTMENT" count="6">
          <ranges>
            <range startItem="0">
              <i n="[Range 1].[DEPARTMENT].&amp;[Cardiology]" c="Cardiology"/>
              <i n="[Range 1].[DEPARTMENT].&amp;[General]" c="General"/>
              <i n="[Range 1].[DEPARTMENT].&amp;[Neurology]" c="Neurology"/>
              <i n="[Range 1].[DEPARTMENT].&amp;[Orthopedics]" c="Orthopedics"/>
              <i n="[Range 1].[DEPARTMENT].&amp;[Pediatrics]" c="Pediatrics"/>
              <i n="[Range 1].[DEPARTMENT].&amp;[UNKNOWN]" c="UNKNOWN"/>
            </range>
          </ranges>
        </level>
      </levels>
      <selections count="1">
        <selection n="[Range 1].[DEPARTM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024C1A84-AB5A-4497-AFA6-2948F589C839}" sourceName="[Range 1].[SEX]">
  <pivotTables>
    <pivotTable tabId="12" name="PivotTable3"/>
  </pivotTables>
  <data>
    <olap pivotCacheId="440776290">
      <levels count="2">
        <level uniqueName="[Range 1].[SEX].[(All)]" sourceCaption="(All)" count="0"/>
        <level uniqueName="[Range 1].[SEX].[SEX]" sourceCaption="SEX" count="3">
          <ranges>
            <range startItem="0">
              <i n="[Range 1].[SEX].&amp;[Female]" c="Female"/>
              <i n="[Range 1].[SEX].&amp;[Male]" c="Male"/>
              <i n="[Range 1].[SEX].&amp;[UNKNOWN]" c="UNKNOWN"/>
            </range>
          </ranges>
        </level>
      </levels>
      <selections count="1">
        <selection n="[Range 1].[SEX].[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URANCE" xr10:uid="{85C85BB0-FF2C-4696-A38D-4766AD6DF75B}" sourceName="[Range].[INSURANCE]">
  <pivotTables>
    <pivotTable tabId="10" name="PivotTable2"/>
  </pivotTables>
  <data>
    <olap pivotCacheId="440776290">
      <levels count="2">
        <level uniqueName="[Range].[INSURANCE].[(All)]" sourceCaption="(All)" count="0"/>
        <level uniqueName="[Range].[INSURANCE].[INSURANCE]" sourceCaption="INSURANCE" count="3">
          <ranges>
            <range startItem="0">
              <i n="[Range].[INSURANCE].&amp;[No]" c="No"/>
              <i n="[Range].[INSURANCE].&amp;[UNKNOWN]" c="UNKNOWN"/>
              <i n="[Range].[INSURANCE].&amp;[Yes]" c="Yes"/>
            </range>
          </ranges>
        </level>
      </levels>
      <selections count="1">
        <selection n="[Range].[INSURANCE].&amp;[No]"/>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MIT_DATE" xr10:uid="{188EA28E-0E0D-4ADB-9F9A-EEA759230D21}" sourceName="[Range].[ADMIT_DATE]">
  <pivotTables>
    <pivotTable tabId="10" name="PivotTable2"/>
  </pivotTables>
  <data>
    <olap pivotCacheId="440776290">
      <levels count="2">
        <level uniqueName="[Range].[ADMIT_DATE].[(All)]" sourceCaption="(All)" count="0"/>
        <level uniqueName="[Range].[ADMIT_DATE].[ADMIT_DATE]" sourceCaption="ADMIT_DATE" count="81">
          <ranges>
            <range startItem="0">
              <i n="[Range].[ADMIT_DATE].&amp;[01-01-2026]" c="01-01-2026"/>
              <i n="[Range].[ADMIT_DATE].&amp;[02-09-2025]" c="02-09-2025"/>
              <i n="[Range].[ADMIT_DATE].&amp;[04-07-2025]" c="04-07-2025"/>
              <i n="[Range].[ADMIT_DATE].&amp;[05-03-2025]" c="05-03-2025"/>
              <i n="[Range].[ADMIT_DATE].&amp;[05-07-2025]" c="05-07-2025"/>
              <i n="[Range].[ADMIT_DATE].&amp;[05-08-2025]" c="05-08-2025"/>
              <i n="[Range].[ADMIT_DATE].&amp;[07-03-2025]" c="07-03-2025"/>
              <i n="[Range].[ADMIT_DATE].&amp;[07-08-2025]" c="07-08-2025"/>
              <i n="[Range].[ADMIT_DATE].&amp;[08-02-2025]" c="08-02-2025"/>
              <i n="[Range].[ADMIT_DATE].&amp;[08-12-2025]" c="08-12-2025"/>
              <i n="[Range].[ADMIT_DATE].&amp;[09-05-2025]" c="09-05-2025"/>
              <i n="[Range].[ADMIT_DATE].&amp;[10-09-2025]" c="10-09-2025"/>
              <i n="[Range].[ADMIT_DATE].&amp;[11-11-2025]" c="11-11-2025"/>
              <i n="[Range].[ADMIT_DATE].&amp;[12-10-2025]" c="12-10-2025"/>
              <i n="[Range].[ADMIT_DATE].&amp;[13-05-2025]" c="13-05-2025"/>
              <i n="[Range].[ADMIT_DATE].&amp;[14-01-2025]" c="14-01-2025"/>
              <i n="[Range].[ADMIT_DATE].&amp;[14-06-2025]" c="14-06-2025"/>
              <i n="[Range].[ADMIT_DATE].&amp;[15-06-2025]" c="15-06-2025"/>
              <i n="[Range].[ADMIT_DATE].&amp;[15-09-2025]" c="15-09-2025"/>
              <i n="[Range].[ADMIT_DATE].&amp;[16-06-2025]" c="16-06-2025"/>
              <i n="[Range].[ADMIT_DATE].&amp;[16-08-2025]" c="16-08-2025"/>
              <i n="[Range].[ADMIT_DATE].&amp;[16-11-2025]" c="16-11-2025"/>
              <i n="[Range].[ADMIT_DATE].&amp;[17-04-2025]" c="17-04-2025"/>
              <i n="[Range].[ADMIT_DATE].&amp;[17-12-2025]" c="17-12-2025"/>
              <i n="[Range].[ADMIT_DATE].&amp;[18-11-2025]" c="18-11-2025"/>
              <i n="[Range].[ADMIT_DATE].&amp;[19-02-2025]" c="19-02-2025"/>
              <i n="[Range].[ADMIT_DATE].&amp;[19-05-2025]" c="19-05-2025"/>
              <i n="[Range].[ADMIT_DATE].&amp;[20-06-2025]" c="20-06-2025"/>
              <i n="[Range].[ADMIT_DATE].&amp;[20-07-2025]" c="20-07-2025"/>
              <i n="[Range].[ADMIT_DATE].&amp;[20-09-2025]" c="20-09-2025"/>
              <i n="[Range].[ADMIT_DATE].&amp;[22-05-2025]" c="22-05-2025"/>
              <i n="[Range].[ADMIT_DATE].&amp;[22-10-2025]" c="22-10-2025"/>
              <i n="[Range].[ADMIT_DATE].&amp;[23-06-2025]" c="23-06-2025"/>
              <i n="[Range].[ADMIT_DATE].&amp;[23-09-2025]" c="23-09-2025"/>
              <i n="[Range].[ADMIT_DATE].&amp;[24-06-2025]" c="24-06-2025"/>
              <i n="[Range].[ADMIT_DATE].&amp;[24-10-2025]" c="24-10-2025"/>
              <i n="[Range].[ADMIT_DATE].&amp;[25-01-2025]" c="25-01-2025"/>
              <i n="[Range].[ADMIT_DATE].&amp;[25-04-2025]" c="25-04-2025"/>
              <i n="[Range].[ADMIT_DATE].&amp;[25-06-2025]" c="25-06-2025"/>
              <i n="[Range].[ADMIT_DATE].&amp;[25-10-2025]" c="25-10-2025"/>
              <i n="[Range].[ADMIT_DATE].&amp;[26-01-2025]" c="26-01-2025"/>
              <i n="[Range].[ADMIT_DATE].&amp;[27-06-2025]" c="27-06-2025"/>
              <i n="[Range].[ADMIT_DATE].&amp;[28-12-2025]" c="28-12-2025"/>
              <i n="[Range].[ADMIT_DATE].&amp;[29-11-2025]" c="29-11-2025"/>
              <i n="[Range].[ADMIT_DATE].&amp;[UNKNOWN]" c="UNKNOWN"/>
              <i n="[Range].[ADMIT_DATE].&amp;[01-03-2025]" c="01-03-2025" nd="1"/>
              <i n="[Range].[ADMIT_DATE].&amp;[01-12-2025]" c="01-12-2025" nd="1"/>
              <i n="[Range].[ADMIT_DATE].&amp;[02-08-2025]" c="02-08-2025" nd="1"/>
              <i n="[Range].[ADMIT_DATE].&amp;[03-01-2025]" c="03-01-2025" nd="1"/>
              <i n="[Range].[ADMIT_DATE].&amp;[03-02-2025]" c="03-02-2025" nd="1"/>
              <i n="[Range].[ADMIT_DATE].&amp;[03-05-2025]" c="03-05-2025" nd="1"/>
              <i n="[Range].[ADMIT_DATE].&amp;[04-12-2025]" c="04-12-2025" nd="1"/>
              <i n="[Range].[ADMIT_DATE].&amp;[05-12-2025]" c="05-12-2025" nd="1"/>
              <i n="[Range].[ADMIT_DATE].&amp;[06-04-2025]" c="06-04-2025" nd="1"/>
              <i n="[Range].[ADMIT_DATE].&amp;[07-12-2025]" c="07-12-2025" nd="1"/>
              <i n="[Range].[ADMIT_DATE].&amp;[10-02-2025]" c="10-02-2025" nd="1"/>
              <i n="[Range].[ADMIT_DATE].&amp;[10-03-2025]" c="10-03-2025" nd="1"/>
              <i n="[Range].[ADMIT_DATE].&amp;[11-02-2025]" c="11-02-2025" nd="1"/>
              <i n="[Range].[ADMIT_DATE].&amp;[11-03-2025]" c="11-03-2025" nd="1"/>
              <i n="[Range].[ADMIT_DATE].&amp;[11-08-2025]" c="11-08-2025" nd="1"/>
              <i n="[Range].[ADMIT_DATE].&amp;[11-10-2025]" c="11-10-2025" nd="1"/>
              <i n="[Range].[ADMIT_DATE].&amp;[12-03-2025]" c="12-03-2025" nd="1"/>
              <i n="[Range].[ADMIT_DATE].&amp;[12-06-2025]" c="12-06-2025" nd="1"/>
              <i n="[Range].[ADMIT_DATE].&amp;[13-12-2025]" c="13-12-2025" nd="1"/>
              <i n="[Range].[ADMIT_DATE].&amp;[14-08-2025]" c="14-08-2025" nd="1"/>
              <i n="[Range].[ADMIT_DATE].&amp;[15-01-2025]" c="15-01-2025" nd="1"/>
              <i n="[Range].[ADMIT_DATE].&amp;[15-11-2025]" c="15-11-2025" nd="1"/>
              <i n="[Range].[ADMIT_DATE].&amp;[16-12-2025]" c="16-12-2025" nd="1"/>
              <i n="[Range].[ADMIT_DATE].&amp;[17-05-2025]" c="17-05-2025" nd="1"/>
              <i n="[Range].[ADMIT_DATE].&amp;[21-10-2025]" c="21-10-2025" nd="1"/>
              <i n="[Range].[ADMIT_DATE].&amp;[22-12-2025]" c="22-12-2025" nd="1"/>
              <i n="[Range].[ADMIT_DATE].&amp;[23-01-2025]" c="23-01-2025" nd="1"/>
              <i n="[Range].[ADMIT_DATE].&amp;[25-08-2025]" c="25-08-2025" nd="1"/>
              <i n="[Range].[ADMIT_DATE].&amp;[25-09-2025]" c="25-09-2025" nd="1"/>
              <i n="[Range].[ADMIT_DATE].&amp;[27-08-2025]" c="27-08-2025" nd="1"/>
              <i n="[Range].[ADMIT_DATE].&amp;[27-09-2025]" c="27-09-2025" nd="1"/>
              <i n="[Range].[ADMIT_DATE].&amp;[28-01-2025]" c="28-01-2025" nd="1"/>
              <i n="[Range].[ADMIT_DATE].&amp;[28-09-2025]" c="28-09-2025" nd="1"/>
              <i n="[Range].[ADMIT_DATE].&amp;[29-03-2025]" c="29-03-2025" nd="1"/>
              <i n="[Range].[ADMIT_DATE].&amp;[30-10-2025]" c="30-10-2025" nd="1"/>
              <i n="[Range].[ADMIT_DATE].&amp;[31-05-2025]" c="31-05-2025" nd="1"/>
            </range>
          </ranges>
        </level>
      </levels>
      <selections count="1">
        <selection n="[Range].[ADMIT_DAT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FC35C8B-0F17-43F0-89F3-EAF2AAD93D45}" sourceName="[Range 2].[DEPARTMENT]">
  <pivotTables>
    <pivotTable tabId="18" name="PivotTable2"/>
    <pivotTable tabId="20" name="PivotTable4"/>
  </pivotTables>
  <data>
    <olap pivotCacheId="833455382">
      <levels count="2">
        <level uniqueName="[Range 2].[DEPARTMENT].[(All)]" sourceCaption="(All)" count="0"/>
        <level uniqueName="[Range 2].[DEPARTMENT].[DEPARTMENT]" sourceCaption="DEPARTMENT" count="6">
          <ranges>
            <range startItem="0">
              <i n="[Range 2].[DEPARTMENT].&amp;" c="(blank)"/>
              <i n="[Range 2].[DEPARTMENT].&amp;[Cardiology]" c="Cardiology"/>
              <i n="[Range 2].[DEPARTMENT].&amp;[General]" c="General"/>
              <i n="[Range 2].[DEPARTMENT].&amp;[Neurology]" c="Neurology"/>
              <i n="[Range 2].[DEPARTMENT].&amp;[Orthopedics]" c="Orthopedics"/>
              <i n="[Range 2].[DEPARTMENT].&amp;[Pediatrics]" c="Pediatrics"/>
            </range>
          </ranges>
        </level>
      </levels>
      <selections count="1">
        <selection n="[Range 2].[DEPARTMENT].&amp;[Genera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2" xr10:uid="{BAE11D49-5919-4F24-BD06-CA586F3B66A4}" sourceName="[Range 3].[DEPARTMENT]">
  <pivotTables>
    <pivotTable tabId="20" name="PivotTable4"/>
  </pivotTables>
  <data>
    <olap pivotCacheId="440776290">
      <levels count="2">
        <level uniqueName="[Range 3].[DEPARTMENT].[(All)]" sourceCaption="(All)" count="0"/>
        <level uniqueName="[Range 3].[DEPARTMENT].[DEPARTMENT]" sourceCaption="DEPARTMENT" count="6">
          <ranges>
            <range startItem="0">
              <i n="[Range 3].[DEPARTMENT].&amp;" c="(blank)"/>
              <i n="[Range 3].[DEPARTMENT].&amp;[Cardiology]" c="Cardiology"/>
              <i n="[Range 3].[DEPARTMENT].&amp;[General]" c="General"/>
              <i n="[Range 3].[DEPARTMENT].&amp;[Neurology]" c="Neurology"/>
              <i n="[Range 3].[DEPARTMENT].&amp;[Orthopedics]" c="Orthopedics"/>
              <i n="[Range 3].[DEPARTMENT].&amp;[Pediatrics]" c="Pediatrics"/>
            </range>
          </ranges>
        </level>
      </levels>
      <selections count="1">
        <selection n="[Range 3].[DEPART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SURANCE" xr10:uid="{EAD0E922-D702-448E-BC9B-6551DD91F1FD}" cache="Slicer_INSURANCE" caption="INSURANCE" level="1" rowHeight="241300"/>
  <slicer name="ADMIT_DATE" xr10:uid="{471F6CF7-7159-4587-ADEB-C1BF7A923BAB}" cache="Slicer_ADMIT_DATE" caption="ADMIT_DAT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1F6F57D9-261D-451F-A68B-F01CCC629629}" cache="Slicer_DEPARTMENT1" caption="DEPARTMENT"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CTOR 1" xr10:uid="{CA0DF9D7-3560-4D15-B060-D81FA18748A8}" cache="Slicer_DOCTOR" caption="DOCTOR" level="1" style="SlicerStyleOther1" rowHeight="241300"/>
  <slicer name="PAYMENT 1" xr10:uid="{6E9C466E-9450-4438-B147-5E1BE8253C1E}" cache="Slicer_PAYMENT" caption="PAYMENT" level="1" style="SlicerStyleOther1" rowHeight="241300"/>
  <slicer name="DEPARTMENT 1" xr10:uid="{9B8480D9-26CE-44F4-8E9D-1009FA5B87F7}" cache="Slicer_DEPARTMENT" caption="DEPARTMENT" level="1" style="SlicerStyleOther1" rowHeight="241300"/>
  <slicer name="SEX 1" xr10:uid="{D7DE1E4E-8969-4042-A916-C9543A4542AC}" cache="Slicer_SEX" caption="SEX" level="1" style="SlicerStyleOther1" rowHeight="241300"/>
  <slicer name="INSURANCE 1" xr10:uid="{9DAB5EC9-C6DF-45E8-B88B-70277144CEAA}" cache="Slicer_INSURANCE" caption="INSURANCE" level="1" style="SlicerStyleOther1" rowHeight="241300"/>
  <slicer name="ADMIT_DATE 1" xr10:uid="{9E7BA4BC-2995-457D-B844-607C6EA31696}" cache="Slicer_ADMIT_DATE" caption="ADMIT_DATE" startItem="14" level="1" style="SlicerStyleOther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3" xr10:uid="{31364CD5-3C41-4C78-9518-24FAB193C347}" cache="Slicer_DEPARTMENT2" caption="DEPARTMENT"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31601985-8AC3-43EB-B7B6-88038FBEF13D}" cache="Slicer_DEPARTMENT" caption="DEPARTMENT" level="1" rowHeight="241300"/>
  <slicer name="SEX" xr10:uid="{FEC7F77C-C9B0-46CD-B831-E23E3873C4C8}" cache="Slicer_SEX" caption="SEX"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CTOR" xr10:uid="{2DD39A51-5027-4F5F-8508-75F21F1C3954}" cache="Slicer_DOCTOR" caption="DOCTOR" level="1" rowHeight="241300"/>
  <slicer name="PAYMENT" xr10:uid="{B9FCA5B6-9F66-4A43-86A6-EC82006388E5}" cache="Slicer_PAYMENT" caption="PAYMENT" level="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5" xr10:uid="{D335BF71-AA4C-4846-83FA-861FBC69FC00}" cache="Slicer_DEPARTMENT1" caption="DEPARTMENT" level="1" style="SlicerStyleOther1" rowHeight="241300"/>
  <slicer name="DEPARTMENT 4" xr10:uid="{883829B8-21B9-4842-9CC0-58830D0EEA77}" cache="Slicer_DEPARTMENT2" caption="DEPARTMENT" level="1" style="SlicerStyleOther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1.xml"/><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D9236-DA43-4AC2-A033-BCFBC0DBEE9D}">
  <dimension ref="A3:D11"/>
  <sheetViews>
    <sheetView workbookViewId="0">
      <selection activeCell="P19" sqref="P19"/>
    </sheetView>
  </sheetViews>
  <sheetFormatPr defaultRowHeight="14.45"/>
  <cols>
    <col min="1" max="1" width="18" bestFit="1" customWidth="1"/>
    <col min="2" max="2" width="15.28515625" bestFit="1" customWidth="1"/>
    <col min="3" max="3" width="7.5703125" bestFit="1" customWidth="1"/>
    <col min="4" max="5" width="10.7109375" bestFit="1" customWidth="1"/>
  </cols>
  <sheetData>
    <row r="3" spans="1:4">
      <c r="A3" s="8" t="s">
        <v>0</v>
      </c>
      <c r="B3" s="8" t="s">
        <v>1</v>
      </c>
      <c r="C3" s="21"/>
      <c r="D3" s="21"/>
    </row>
    <row r="4" spans="1:4">
      <c r="A4" s="8" t="s">
        <v>2</v>
      </c>
      <c r="B4" s="21" t="s">
        <v>3</v>
      </c>
      <c r="C4" s="21" t="s">
        <v>4</v>
      </c>
      <c r="D4" s="21" t="s">
        <v>5</v>
      </c>
    </row>
    <row r="5" spans="1:4">
      <c r="A5" s="7" t="s">
        <v>6</v>
      </c>
      <c r="B5" s="22">
        <v>44802</v>
      </c>
      <c r="C5" s="22">
        <v>58899</v>
      </c>
      <c r="D5" s="22">
        <v>103701</v>
      </c>
    </row>
    <row r="6" spans="1:4">
      <c r="A6" s="7" t="s">
        <v>7</v>
      </c>
      <c r="B6" s="22">
        <v>121346</v>
      </c>
      <c r="C6" s="22">
        <v>311016</v>
      </c>
      <c r="D6" s="22">
        <v>432362</v>
      </c>
    </row>
    <row r="7" spans="1:4">
      <c r="A7" s="7" t="s">
        <v>8</v>
      </c>
      <c r="B7" s="22">
        <v>230084</v>
      </c>
      <c r="C7" s="22">
        <v>141979</v>
      </c>
      <c r="D7" s="22">
        <v>372063</v>
      </c>
    </row>
    <row r="8" spans="1:4">
      <c r="A8" s="7" t="s">
        <v>9</v>
      </c>
      <c r="B8" s="22">
        <v>298180</v>
      </c>
      <c r="C8" s="22">
        <v>89221</v>
      </c>
      <c r="D8" s="22">
        <v>387401</v>
      </c>
    </row>
    <row r="9" spans="1:4">
      <c r="A9" s="7" t="s">
        <v>10</v>
      </c>
      <c r="B9" s="22">
        <v>201638</v>
      </c>
      <c r="C9" s="22">
        <v>263991</v>
      </c>
      <c r="D9" s="22">
        <v>465629</v>
      </c>
    </row>
    <row r="10" spans="1:4">
      <c r="A10" s="7" t="s">
        <v>11</v>
      </c>
      <c r="B10" s="22">
        <v>83798</v>
      </c>
      <c r="C10" s="22"/>
      <c r="D10" s="22">
        <v>83798</v>
      </c>
    </row>
    <row r="11" spans="1:4">
      <c r="A11" s="7" t="s">
        <v>5</v>
      </c>
      <c r="B11" s="22">
        <v>979848</v>
      </c>
      <c r="C11" s="22">
        <v>865106</v>
      </c>
      <c r="D11" s="22">
        <v>1844954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8329F-41F9-4A84-82AD-2478486CEEC0}">
  <dimension ref="A1:B5"/>
  <sheetViews>
    <sheetView workbookViewId="0">
      <selection activeCell="G26" sqref="G26"/>
    </sheetView>
  </sheetViews>
  <sheetFormatPr defaultRowHeight="14.45"/>
  <cols>
    <col min="1" max="1" width="15.5703125" bestFit="1" customWidth="1"/>
    <col min="2" max="2" width="18" bestFit="1" customWidth="1"/>
  </cols>
  <sheetData>
    <row r="1" spans="1:2">
      <c r="A1" s="8" t="s">
        <v>12</v>
      </c>
      <c r="B1" s="21" t="s" vm="1">
        <v>13</v>
      </c>
    </row>
    <row r="3" spans="1:2">
      <c r="A3" s="8" t="s">
        <v>2</v>
      </c>
      <c r="B3" s="21" t="s">
        <v>0</v>
      </c>
    </row>
    <row r="4" spans="1:2">
      <c r="A4" s="7" t="s">
        <v>14</v>
      </c>
      <c r="B4" s="9">
        <v>496283</v>
      </c>
    </row>
    <row r="5" spans="1:2">
      <c r="A5" s="7" t="s">
        <v>5</v>
      </c>
      <c r="B5" s="9">
        <v>496283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2A87-4428-4D91-A000-33F6A561EA42}">
  <dimension ref="A1:Z49"/>
  <sheetViews>
    <sheetView showGridLines="0" zoomScale="80" zoomScaleNormal="80" workbookViewId="0">
      <selection sqref="A1:H3"/>
    </sheetView>
  </sheetViews>
  <sheetFormatPr defaultRowHeight="14.45"/>
  <sheetData>
    <row r="1" spans="1:26" ht="14.45" customHeight="1">
      <c r="A1" s="25" t="s">
        <v>15</v>
      </c>
      <c r="B1" s="24"/>
      <c r="C1" s="24"/>
      <c r="D1" s="24"/>
      <c r="E1" s="24"/>
      <c r="F1" s="24"/>
      <c r="G1" s="24"/>
      <c r="H1" s="24"/>
      <c r="I1" s="25" t="s">
        <v>16</v>
      </c>
      <c r="J1" s="26"/>
      <c r="K1" s="26"/>
      <c r="L1" s="26"/>
      <c r="M1" s="26"/>
      <c r="N1" s="26"/>
      <c r="O1" s="26"/>
      <c r="P1" s="26"/>
      <c r="Q1" s="25" t="s">
        <v>17</v>
      </c>
      <c r="R1" s="27"/>
      <c r="S1" s="27"/>
      <c r="T1" s="27"/>
      <c r="U1" s="27"/>
      <c r="V1" s="27"/>
      <c r="W1" s="27"/>
      <c r="X1" s="27"/>
      <c r="Y1" s="17"/>
      <c r="Z1" s="17"/>
    </row>
    <row r="2" spans="1:26">
      <c r="A2" s="24"/>
      <c r="B2" s="24"/>
      <c r="C2" s="24"/>
      <c r="D2" s="24"/>
      <c r="E2" s="24"/>
      <c r="F2" s="24"/>
      <c r="G2" s="24"/>
      <c r="H2" s="24"/>
      <c r="I2" s="26"/>
      <c r="J2" s="26"/>
      <c r="K2" s="26"/>
      <c r="L2" s="26"/>
      <c r="M2" s="26"/>
      <c r="N2" s="26"/>
      <c r="O2" s="26"/>
      <c r="P2" s="26"/>
      <c r="Q2" s="27"/>
      <c r="R2" s="27"/>
      <c r="S2" s="27"/>
      <c r="T2" s="27"/>
      <c r="U2" s="27"/>
      <c r="V2" s="27"/>
      <c r="W2" s="27"/>
      <c r="X2" s="27"/>
      <c r="Y2" s="17"/>
      <c r="Z2" s="17"/>
    </row>
    <row r="3" spans="1:26" ht="23.45" customHeight="1">
      <c r="A3" s="24"/>
      <c r="B3" s="24"/>
      <c r="C3" s="24"/>
      <c r="D3" s="24"/>
      <c r="E3" s="24"/>
      <c r="F3" s="24"/>
      <c r="G3" s="24"/>
      <c r="H3" s="24"/>
      <c r="I3" s="26"/>
      <c r="J3" s="26"/>
      <c r="K3" s="26"/>
      <c r="L3" s="26"/>
      <c r="M3" s="26"/>
      <c r="N3" s="26"/>
      <c r="O3" s="26"/>
      <c r="P3" s="26"/>
      <c r="Q3" s="27"/>
      <c r="R3" s="27"/>
      <c r="S3" s="27"/>
      <c r="T3" s="27"/>
      <c r="U3" s="27"/>
      <c r="V3" s="27"/>
      <c r="W3" s="27"/>
      <c r="X3" s="27"/>
      <c r="Y3" s="17"/>
      <c r="Z3" s="17"/>
    </row>
    <row r="4" spans="1:26">
      <c r="A4" s="17"/>
      <c r="B4" s="17"/>
      <c r="C4" s="17"/>
      <c r="D4" s="17"/>
      <c r="E4" s="17"/>
      <c r="F4" s="17"/>
      <c r="G4" s="17"/>
      <c r="H4" s="17"/>
      <c r="I4" s="26"/>
      <c r="J4" s="26"/>
      <c r="K4" s="26"/>
      <c r="L4" s="26"/>
      <c r="M4" s="26"/>
      <c r="N4" s="26"/>
      <c r="O4" s="26"/>
      <c r="P4" s="26"/>
      <c r="Q4" s="27"/>
      <c r="R4" s="27"/>
      <c r="S4" s="27"/>
      <c r="T4" s="27"/>
      <c r="U4" s="27"/>
      <c r="V4" s="27"/>
      <c r="W4" s="27"/>
      <c r="X4" s="27"/>
      <c r="Y4" s="17"/>
      <c r="Z4" s="17"/>
    </row>
    <row r="5" spans="1:26">
      <c r="A5" s="17"/>
      <c r="B5" s="17"/>
      <c r="C5" s="17"/>
      <c r="D5" s="17"/>
      <c r="E5" s="17"/>
      <c r="F5" s="17"/>
      <c r="G5" s="17"/>
      <c r="H5" s="17"/>
      <c r="I5" s="17"/>
      <c r="J5" s="17"/>
      <c r="K5" s="17"/>
      <c r="L5" s="17"/>
      <c r="M5" s="17"/>
      <c r="N5" s="17"/>
      <c r="O5" s="17"/>
      <c r="P5" s="17"/>
      <c r="Q5" s="27"/>
      <c r="R5" s="27"/>
      <c r="S5" s="27"/>
      <c r="T5" s="27"/>
      <c r="U5" s="27"/>
      <c r="V5" s="27"/>
      <c r="W5" s="27"/>
      <c r="X5" s="27"/>
      <c r="Y5" s="17"/>
      <c r="Z5" s="17"/>
    </row>
    <row r="6" spans="1:26">
      <c r="A6" s="17"/>
      <c r="B6" s="17"/>
      <c r="C6" s="17"/>
      <c r="D6" s="17"/>
      <c r="E6" s="17"/>
      <c r="F6" s="17"/>
      <c r="G6" s="17"/>
      <c r="H6" s="17"/>
      <c r="I6" s="17"/>
      <c r="J6" s="17"/>
      <c r="K6" s="17"/>
      <c r="L6" s="17"/>
      <c r="M6" s="17"/>
      <c r="N6" s="17"/>
      <c r="O6" s="17"/>
      <c r="P6" s="17"/>
      <c r="Q6" s="17"/>
      <c r="R6" s="17"/>
      <c r="S6" s="17"/>
      <c r="T6" s="17"/>
      <c r="U6" s="17"/>
      <c r="V6" s="17"/>
      <c r="W6" s="17"/>
      <c r="X6" s="17"/>
      <c r="Y6" s="17"/>
      <c r="Z6" s="17"/>
    </row>
    <row r="7" spans="1:26">
      <c r="A7" s="17"/>
      <c r="B7" s="17"/>
      <c r="C7" s="17"/>
      <c r="D7" s="17"/>
      <c r="E7" s="17"/>
      <c r="F7" s="17"/>
      <c r="G7" s="17"/>
      <c r="H7" s="17"/>
      <c r="I7" s="17"/>
      <c r="J7" s="17"/>
      <c r="K7" s="17"/>
      <c r="L7" s="17"/>
      <c r="M7" s="17"/>
      <c r="N7" s="17"/>
      <c r="O7" s="17"/>
      <c r="P7" s="17"/>
      <c r="Q7" s="17"/>
      <c r="R7" s="17"/>
      <c r="S7" s="17"/>
      <c r="T7" s="17"/>
      <c r="U7" s="17"/>
      <c r="V7" s="17"/>
      <c r="W7" s="17"/>
      <c r="X7" s="17"/>
      <c r="Y7" s="17"/>
      <c r="Z7" s="17"/>
    </row>
    <row r="8" spans="1:26">
      <c r="A8" s="17"/>
      <c r="B8" s="17"/>
      <c r="C8" s="17"/>
      <c r="D8" s="17"/>
      <c r="E8" s="17"/>
      <c r="F8" s="17"/>
      <c r="G8" s="17"/>
      <c r="H8" s="17"/>
      <c r="I8" s="17"/>
      <c r="J8" s="17"/>
      <c r="K8" s="17"/>
      <c r="L8" s="17"/>
      <c r="M8" s="17"/>
      <c r="N8" s="17"/>
      <c r="O8" s="17"/>
      <c r="P8" s="17"/>
      <c r="Q8" s="17"/>
      <c r="R8" s="17"/>
      <c r="S8" s="17"/>
      <c r="T8" s="17"/>
      <c r="U8" s="17"/>
      <c r="V8" s="17"/>
      <c r="W8" s="17"/>
      <c r="X8" s="17"/>
      <c r="Y8" s="17"/>
      <c r="Z8" s="17"/>
    </row>
    <row r="9" spans="1:26">
      <c r="A9" s="17"/>
      <c r="B9" s="17"/>
      <c r="C9" s="17"/>
      <c r="D9" s="17"/>
      <c r="E9" s="17"/>
      <c r="F9" s="17"/>
      <c r="G9" s="17"/>
      <c r="H9" s="17"/>
      <c r="I9" s="17"/>
      <c r="J9" s="17"/>
      <c r="K9" s="17"/>
      <c r="L9" s="17"/>
      <c r="M9" s="17"/>
      <c r="N9" s="17"/>
      <c r="O9" s="17"/>
      <c r="P9" s="17"/>
      <c r="Q9" s="17"/>
      <c r="R9" s="17"/>
      <c r="S9" s="17"/>
      <c r="T9" s="17"/>
      <c r="U9" s="17"/>
      <c r="V9" s="17"/>
      <c r="W9" s="17"/>
      <c r="X9" s="17"/>
      <c r="Y9" s="17"/>
      <c r="Z9" s="17"/>
    </row>
    <row r="10" spans="1:26">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row>
    <row r="11" spans="1:26">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row>
    <row r="12" spans="1:26">
      <c r="A12" s="17"/>
      <c r="B12" s="17"/>
      <c r="C12" s="17"/>
      <c r="D12" s="17"/>
      <c r="E12" s="17"/>
      <c r="F12" s="17"/>
      <c r="G12" s="17"/>
      <c r="H12" s="17"/>
      <c r="I12" s="17"/>
      <c r="J12" s="17"/>
      <c r="K12" s="17"/>
      <c r="L12" s="17"/>
      <c r="M12" s="17"/>
      <c r="N12" s="17"/>
      <c r="O12" s="17"/>
      <c r="P12" s="17"/>
      <c r="Q12" s="17"/>
      <c r="R12" s="17"/>
      <c r="S12" s="17"/>
      <c r="T12" s="17"/>
      <c r="U12" s="17"/>
      <c r="V12" s="17"/>
      <c r="W12" s="17"/>
      <c r="X12" s="17"/>
      <c r="Y12" s="17"/>
      <c r="Z12" s="17"/>
    </row>
    <row r="13" spans="1:26">
      <c r="A13" s="17"/>
      <c r="B13" s="17"/>
      <c r="C13" s="17"/>
      <c r="D13" s="17"/>
      <c r="E13" s="17"/>
      <c r="F13" s="17"/>
      <c r="G13" s="17"/>
      <c r="H13" s="17"/>
      <c r="I13" s="17"/>
      <c r="J13" s="17"/>
      <c r="K13" s="17"/>
      <c r="L13" s="17"/>
      <c r="M13" s="17"/>
      <c r="N13" s="17"/>
      <c r="O13" s="17"/>
      <c r="P13" s="17"/>
      <c r="Q13" s="17"/>
      <c r="R13" s="17"/>
      <c r="S13" s="17"/>
      <c r="T13" s="17"/>
      <c r="U13" s="17"/>
      <c r="V13" s="17"/>
      <c r="W13" s="17"/>
      <c r="X13" s="17"/>
      <c r="Y13" s="17"/>
      <c r="Z13" s="17"/>
    </row>
    <row r="14" spans="1:26">
      <c r="A14" s="17"/>
      <c r="B14" s="17"/>
      <c r="C14" s="17"/>
      <c r="D14" s="17"/>
      <c r="E14" s="17"/>
      <c r="F14" s="17"/>
      <c r="G14" s="17"/>
      <c r="H14" s="17"/>
      <c r="I14" s="17"/>
      <c r="J14" s="17"/>
      <c r="K14" s="17"/>
      <c r="L14" s="17"/>
      <c r="M14" s="17"/>
      <c r="N14" s="17"/>
      <c r="O14" s="17"/>
      <c r="P14" s="17"/>
      <c r="Q14" s="17"/>
      <c r="R14" s="17"/>
      <c r="S14" s="17"/>
      <c r="T14" s="17"/>
      <c r="U14" s="17"/>
      <c r="V14" s="17"/>
      <c r="W14" s="17"/>
      <c r="X14" s="17"/>
      <c r="Y14" s="17"/>
      <c r="Z14" s="17"/>
    </row>
    <row r="15" spans="1:26">
      <c r="A15" s="17"/>
      <c r="B15" s="17"/>
      <c r="C15" s="17"/>
      <c r="D15" s="17"/>
      <c r="E15" s="17"/>
      <c r="F15" s="17"/>
      <c r="G15" s="17"/>
      <c r="H15" s="17"/>
      <c r="I15" s="17"/>
      <c r="J15" s="17"/>
      <c r="K15" s="17"/>
      <c r="L15" s="17"/>
      <c r="M15" s="17"/>
      <c r="N15" s="17"/>
      <c r="O15" s="17"/>
      <c r="P15" s="17"/>
      <c r="Q15" s="17"/>
      <c r="R15" s="17"/>
      <c r="S15" s="17"/>
      <c r="T15" s="17"/>
      <c r="U15" s="17"/>
      <c r="V15" s="17"/>
      <c r="W15" s="17"/>
      <c r="X15" s="17"/>
      <c r="Y15" s="17"/>
      <c r="Z15" s="17"/>
    </row>
    <row r="16" spans="1:26">
      <c r="A16" s="17"/>
      <c r="B16" s="17"/>
      <c r="C16" s="17"/>
      <c r="D16" s="17"/>
      <c r="E16" s="17"/>
      <c r="F16" s="17"/>
      <c r="G16" s="17"/>
      <c r="H16" s="17"/>
      <c r="I16" s="17"/>
      <c r="J16" s="17"/>
      <c r="K16" s="17"/>
      <c r="L16" s="17"/>
      <c r="M16" s="17"/>
      <c r="N16" s="17"/>
      <c r="O16" s="17"/>
      <c r="P16" s="17"/>
      <c r="Q16" s="17"/>
      <c r="R16" s="17"/>
      <c r="S16" s="17"/>
      <c r="T16" s="17"/>
      <c r="U16" s="17"/>
      <c r="V16" s="17"/>
      <c r="W16" s="17"/>
      <c r="X16" s="17"/>
      <c r="Y16" s="17"/>
      <c r="Z16" s="17"/>
    </row>
    <row r="17" spans="1:26">
      <c r="A17" s="17"/>
      <c r="B17" s="17"/>
      <c r="C17" s="17"/>
      <c r="D17" s="17"/>
      <c r="E17" s="17"/>
      <c r="F17" s="17"/>
      <c r="G17" s="17"/>
      <c r="H17" s="17"/>
      <c r="I17" s="17"/>
      <c r="J17" s="17"/>
      <c r="K17" s="17"/>
      <c r="L17" s="17"/>
      <c r="M17" s="17"/>
      <c r="N17" s="17"/>
      <c r="O17" s="17"/>
      <c r="P17" s="17"/>
      <c r="Q17" s="17"/>
      <c r="R17" s="17"/>
      <c r="S17" s="17"/>
      <c r="T17" s="17"/>
      <c r="U17" s="17"/>
      <c r="V17" s="17"/>
      <c r="W17" s="17"/>
      <c r="X17" s="17"/>
      <c r="Y17" s="17"/>
      <c r="Z17" s="17"/>
    </row>
    <row r="18" spans="1:26">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row>
    <row r="19" spans="1:26">
      <c r="A19" s="17"/>
      <c r="B19" s="17"/>
      <c r="C19" s="17"/>
      <c r="D19" s="17"/>
      <c r="E19" s="17"/>
      <c r="F19" s="17"/>
      <c r="G19" s="17"/>
      <c r="H19" s="17"/>
      <c r="I19" s="17"/>
      <c r="J19" s="17"/>
      <c r="K19" s="17"/>
      <c r="L19" s="17"/>
      <c r="M19" s="17"/>
      <c r="N19" s="17"/>
      <c r="O19" s="17"/>
      <c r="P19" s="17"/>
      <c r="Q19" s="17"/>
      <c r="R19" s="17"/>
      <c r="S19" s="17"/>
      <c r="T19" s="17"/>
      <c r="U19" s="17"/>
      <c r="V19" s="17"/>
      <c r="W19" s="17"/>
      <c r="X19" s="17"/>
      <c r="Y19" s="17"/>
      <c r="Z19" s="17"/>
    </row>
    <row r="20" spans="1:26">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row>
    <row r="21" spans="1:26">
      <c r="A21" s="17"/>
      <c r="B21" s="17"/>
      <c r="C21" s="17"/>
      <c r="D21" s="17"/>
      <c r="E21" s="17"/>
      <c r="F21" s="17"/>
      <c r="G21" s="17"/>
      <c r="H21" s="17"/>
      <c r="I21" s="17"/>
      <c r="J21" s="17"/>
      <c r="K21" s="17"/>
      <c r="L21" s="17"/>
      <c r="M21" s="17"/>
      <c r="N21" s="17"/>
      <c r="O21" s="17"/>
      <c r="P21" s="17"/>
      <c r="Q21" s="17"/>
      <c r="R21" s="17"/>
      <c r="S21" s="17"/>
      <c r="T21" s="17"/>
      <c r="U21" s="17"/>
      <c r="V21" s="17"/>
      <c r="W21" s="17"/>
      <c r="X21" s="17"/>
      <c r="Y21" s="17"/>
      <c r="Z21" s="17"/>
    </row>
    <row r="22" spans="1:26">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row>
    <row r="23" spans="1:26">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spans="1:26">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row>
    <row r="25" spans="1:26">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row>
    <row r="26" spans="1:26">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row>
    <row r="27" spans="1:26">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row>
    <row r="28" spans="1:26">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spans="1:26">
      <c r="A29" s="17"/>
      <c r="B29" s="17"/>
      <c r="C29" s="17"/>
      <c r="D29" s="17"/>
      <c r="E29" s="17"/>
      <c r="F29" s="17"/>
      <c r="G29" s="17"/>
      <c r="H29" s="17"/>
      <c r="I29" s="17"/>
      <c r="J29" s="17"/>
      <c r="K29" s="17"/>
      <c r="L29" s="17"/>
      <c r="M29" s="17"/>
      <c r="N29" s="17"/>
      <c r="O29" s="17"/>
      <c r="P29" s="17"/>
      <c r="Q29" s="17"/>
      <c r="R29" s="17"/>
      <c r="S29" s="17"/>
      <c r="T29" s="17"/>
      <c r="U29" s="17"/>
      <c r="V29" s="17"/>
      <c r="W29" s="17"/>
      <c r="X29" s="17"/>
      <c r="Y29" s="17"/>
      <c r="Z29" s="17"/>
    </row>
    <row r="30" spans="1:26">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row>
    <row r="31" spans="1:26">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row>
    <row r="32" spans="1:26">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row>
    <row r="33" spans="1:26">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spans="1:26">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row>
    <row r="35" spans="1:26">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row>
    <row r="36" spans="1:26">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row>
    <row r="37" spans="1:26">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row>
    <row r="38" spans="1:26">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spans="1:26">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row>
    <row r="40" spans="1:26">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spans="1:26">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row>
    <row r="42" spans="1:26">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spans="1:26">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spans="1:26">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spans="1:26">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spans="1:26">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spans="1:26">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spans="1:26">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spans="1:26">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sheetData>
  <mergeCells count="3">
    <mergeCell ref="A1:H3"/>
    <mergeCell ref="I1:P4"/>
    <mergeCell ref="Q1:X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CFD61-CE49-45E0-9E2D-1EF6B3F549A1}">
  <dimension ref="A1:B10"/>
  <sheetViews>
    <sheetView workbookViewId="0">
      <selection activeCell="A4" sqref="A4:B4"/>
    </sheetView>
  </sheetViews>
  <sheetFormatPr defaultRowHeight="14.45"/>
  <cols>
    <col min="1" max="1" width="17" bestFit="1" customWidth="1"/>
    <col min="2" max="2" width="16.140625" customWidth="1"/>
  </cols>
  <sheetData>
    <row r="1" spans="1:2">
      <c r="A1" s="30" t="s">
        <v>18</v>
      </c>
      <c r="B1" s="24"/>
    </row>
    <row r="2" spans="1:2">
      <c r="A2" s="31"/>
      <c r="B2" s="31"/>
    </row>
    <row r="3" spans="1:2">
      <c r="A3" s="16" t="s">
        <v>19</v>
      </c>
      <c r="B3" s="14" t="s">
        <v>20</v>
      </c>
    </row>
    <row r="4" spans="1:2">
      <c r="A4" s="28"/>
      <c r="B4" s="29"/>
    </row>
    <row r="5" spans="1:2">
      <c r="A5" s="14" t="s">
        <v>21</v>
      </c>
      <c r="B5" s="14" t="str">
        <f>VLOOKUP(B3,CLEAN_DATA!A1:N100,MATCH(CLEAN_DATA!B1,CLEAN_DATA!A1:N1,0),FALSE)</f>
        <v>Kiran</v>
      </c>
    </row>
    <row r="6" spans="1:2">
      <c r="A6" s="14" t="s">
        <v>22</v>
      </c>
      <c r="B6" s="14" t="str">
        <f>VLOOKUP(B3,CLEAN_DATA!A1:N100,MATCH(CLEAN_DATA!C1,CLEAN_DATA!A1:N1,0),FALSE)</f>
        <v>N/A</v>
      </c>
    </row>
    <row r="7" spans="1:2">
      <c r="A7" s="14" t="s">
        <v>23</v>
      </c>
      <c r="B7" s="14" t="str">
        <f>VLOOKUP(B3,CLEAN_DATA!A1:N100,MATCH(CLEAN_DATA!D1,CLEAN_DATA!A1:N1,0),FALSE)</f>
        <v>Male</v>
      </c>
    </row>
    <row r="8" spans="1:2">
      <c r="A8" s="14" t="s">
        <v>24</v>
      </c>
      <c r="B8" s="14" t="str">
        <f>VLOOKUP(B3,CLEAN_DATA!A1:N100,MATCH(CLEAN_DATA!E1,CLEAN_DATA!A1:N1,0),FALSE)</f>
        <v>Neurology</v>
      </c>
    </row>
    <row r="9" spans="1:2">
      <c r="A9" s="14" t="s">
        <v>25</v>
      </c>
      <c r="B9" s="14" t="str">
        <f>VLOOKUP(B3,CLEAN_DATA!A1:N100,MATCH(CLEAN_DATA!F1,CLEAN_DATA!A1:N1,0),FALSE)</f>
        <v>Dr. Sen</v>
      </c>
    </row>
    <row r="10" spans="1:2">
      <c r="A10" s="14" t="s">
        <v>26</v>
      </c>
      <c r="B10" s="14" t="str">
        <f>VLOOKUP(B3,CLEAN_DATA!A1:N100,MATCH(CLEAN_DATA!G1,CLEAN_DATA!A1:N1,0),FALSE)</f>
        <v>03-05-2025</v>
      </c>
    </row>
  </sheetData>
  <mergeCells count="2">
    <mergeCell ref="A4:B4"/>
    <mergeCell ref="A1:B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1D65E-335D-4888-9D25-B5784713C625}">
  <dimension ref="A1:V118"/>
  <sheetViews>
    <sheetView zoomScale="71" workbookViewId="0"/>
  </sheetViews>
  <sheetFormatPr defaultRowHeight="14.45"/>
  <cols>
    <col min="7" max="7" width="12" bestFit="1" customWidth="1"/>
    <col min="8" max="8" width="16" bestFit="1" customWidth="1"/>
    <col min="11" max="11" width="11.7109375" bestFit="1" customWidth="1"/>
    <col min="12" max="12" width="11.5703125" bestFit="1" customWidth="1"/>
    <col min="15" max="15" width="20.5703125" bestFit="1" customWidth="1"/>
    <col min="16" max="16" width="18.7109375" bestFit="1" customWidth="1"/>
    <col min="17" max="17" width="15.5703125" bestFit="1" customWidth="1"/>
    <col min="20" max="20" width="12.42578125" bestFit="1" customWidth="1"/>
    <col min="22" max="22" width="12" bestFit="1" customWidth="1"/>
    <col min="23" max="23" width="16" bestFit="1" customWidth="1"/>
    <col min="24" max="24" width="11.5703125" bestFit="1" customWidth="1"/>
    <col min="25" max="25" width="10.42578125" bestFit="1" customWidth="1"/>
  </cols>
  <sheetData>
    <row r="1" spans="1:22">
      <c r="A1" s="21" t="s">
        <v>27</v>
      </c>
      <c r="B1" s="21" t="s">
        <v>28</v>
      </c>
      <c r="C1" s="21" t="s">
        <v>22</v>
      </c>
      <c r="D1" s="21" t="s">
        <v>23</v>
      </c>
      <c r="E1" s="21" t="s">
        <v>29</v>
      </c>
      <c r="F1" s="21" t="s">
        <v>30</v>
      </c>
      <c r="G1" s="21" t="s">
        <v>31</v>
      </c>
      <c r="H1" s="21" t="s">
        <v>32</v>
      </c>
      <c r="I1" s="21" t="s">
        <v>33</v>
      </c>
      <c r="J1" s="21" t="s">
        <v>34</v>
      </c>
      <c r="K1" s="21" t="s">
        <v>35</v>
      </c>
      <c r="L1" s="21" t="s">
        <v>36</v>
      </c>
      <c r="M1" s="21" t="s">
        <v>37</v>
      </c>
      <c r="N1" s="21" t="s">
        <v>12</v>
      </c>
      <c r="O1" s="21" t="s">
        <v>38</v>
      </c>
      <c r="P1" s="21" t="s">
        <v>39</v>
      </c>
      <c r="Q1" s="21" t="s">
        <v>40</v>
      </c>
      <c r="R1" s="21" t="s">
        <v>41</v>
      </c>
      <c r="S1" s="21"/>
      <c r="T1" s="21"/>
      <c r="U1" s="21"/>
      <c r="V1" s="21"/>
    </row>
    <row r="2" spans="1:22">
      <c r="A2" s="1" t="s">
        <v>42</v>
      </c>
      <c r="B2" s="2" t="s">
        <v>43</v>
      </c>
      <c r="C2" s="2" t="s">
        <v>44</v>
      </c>
      <c r="D2" s="2" t="s">
        <v>45</v>
      </c>
      <c r="E2" s="2" t="s">
        <v>8</v>
      </c>
      <c r="F2" s="2" t="s">
        <v>46</v>
      </c>
      <c r="G2" s="2" t="s">
        <v>47</v>
      </c>
      <c r="H2" s="2" t="s">
        <v>48</v>
      </c>
      <c r="I2" s="2">
        <v>14286</v>
      </c>
      <c r="J2" s="2">
        <v>1121</v>
      </c>
      <c r="K2" s="2">
        <v>8379</v>
      </c>
      <c r="L2" s="2">
        <f t="shared" ref="L2:L33" si="0">SUM(I2,J2,K2)</f>
        <v>23786</v>
      </c>
      <c r="M2" s="2" t="s">
        <v>49</v>
      </c>
      <c r="N2" s="5" t="s">
        <v>4</v>
      </c>
      <c r="O2" s="21" t="str">
        <f>IF(OR(H2="",H2="UNKNOWN"), "CURRENTLY ADMITTED", "DISCHARGED")</f>
        <v>DISCHARGED</v>
      </c>
      <c r="P2" s="21" t="e">
        <f ca="1">IF(N2="Pending", IF(OR(H2="",H2="UNKNOWN"),TODAY()-G2,TODAY()-H2),0)</f>
        <v>#VALUE!</v>
      </c>
      <c r="Q2" s="21" t="e">
        <f ca="1">IF(P2=0,"Fully_Paid",IF(P2&lt;=30,"1-30 Days overdue",IF(P2&lt;=60,"31-60 days overdue","61+ days overdue")))</f>
        <v>#VALUE!</v>
      </c>
      <c r="R2" s="21" t="e">
        <f ca="1">IF(OR(H2="",H2="UNKNOWN"),TODAY()-G2,H2-G2)</f>
        <v>#VALUE!</v>
      </c>
      <c r="S2" s="21"/>
      <c r="T2" s="21"/>
      <c r="U2" s="21"/>
      <c r="V2" s="21"/>
    </row>
    <row r="3" spans="1:22">
      <c r="A3" s="3" t="s">
        <v>20</v>
      </c>
      <c r="B3" s="4" t="s">
        <v>50</v>
      </c>
      <c r="C3" s="4"/>
      <c r="D3" s="4" t="s">
        <v>45</v>
      </c>
      <c r="E3" s="4" t="s">
        <v>8</v>
      </c>
      <c r="F3" s="4" t="s">
        <v>51</v>
      </c>
      <c r="G3" s="4" t="s">
        <v>52</v>
      </c>
      <c r="H3" s="4" t="s">
        <v>53</v>
      </c>
      <c r="I3" s="4">
        <v>20001</v>
      </c>
      <c r="J3" s="4">
        <v>1712</v>
      </c>
      <c r="K3" s="4">
        <v>6971</v>
      </c>
      <c r="L3" s="2">
        <f t="shared" si="0"/>
        <v>28684</v>
      </c>
      <c r="M3" s="4" t="s">
        <v>54</v>
      </c>
      <c r="N3" s="6" t="s">
        <v>3</v>
      </c>
      <c r="O3" s="21" t="str">
        <f t="shared" ref="O3:O66" si="1">IF(OR(H3="",H3="UNKNOWN"), "CURRENTLY ADMITTED", "DISCHARGED")</f>
        <v>DISCHARGED</v>
      </c>
      <c r="P3" s="21">
        <f t="shared" ref="P3:P66" ca="1" si="2">IF(N3="Pending", IF(OR(H3="",H3="UNKNOWN"),TODAY()-G3,TODAY()-H3),0)</f>
        <v>0</v>
      </c>
      <c r="Q3" s="21" t="str">
        <f t="shared" ref="Q3:Q66" ca="1" si="3">IF(P3=0,"Fully_Paid",IF(P3&lt;=30,"1-30 Days overdue",IF(P3&lt;=60,"31-60 days overdue","61+ days overdue")))</f>
        <v>Fully_Paid</v>
      </c>
      <c r="R3" s="21">
        <f t="shared" ref="R3:R66" ca="1" si="4">IF(OR(H3="",H3="UNKNOWN"),TODAY()-G3,H3-G3)</f>
        <v>31</v>
      </c>
      <c r="S3" s="21"/>
      <c r="T3" s="32"/>
      <c r="U3" s="32"/>
      <c r="V3" s="32"/>
    </row>
    <row r="4" spans="1:22">
      <c r="A4" s="1" t="s">
        <v>55</v>
      </c>
      <c r="B4" s="2" t="s">
        <v>43</v>
      </c>
      <c r="C4" s="2">
        <v>31</v>
      </c>
      <c r="D4" s="2" t="s">
        <v>45</v>
      </c>
      <c r="E4" s="2" t="s">
        <v>7</v>
      </c>
      <c r="F4" s="2" t="s">
        <v>56</v>
      </c>
      <c r="G4" s="2" t="s">
        <v>57</v>
      </c>
      <c r="H4" s="2" t="s">
        <v>58</v>
      </c>
      <c r="I4" s="2">
        <v>9006</v>
      </c>
      <c r="J4" s="2">
        <v>6011</v>
      </c>
      <c r="K4" s="2">
        <v>10944</v>
      </c>
      <c r="L4" s="2">
        <f t="shared" si="0"/>
        <v>25961</v>
      </c>
      <c r="M4" s="2" t="s">
        <v>54</v>
      </c>
      <c r="N4" s="5" t="s">
        <v>4</v>
      </c>
      <c r="O4" s="21" t="str">
        <f t="shared" si="1"/>
        <v>DISCHARGED</v>
      </c>
      <c r="P4" s="21" t="e">
        <f t="shared" ca="1" si="2"/>
        <v>#VALUE!</v>
      </c>
      <c r="Q4" s="21" t="e">
        <f t="shared" ca="1" si="3"/>
        <v>#VALUE!</v>
      </c>
      <c r="R4" s="21" t="e">
        <f t="shared" ca="1" si="4"/>
        <v>#VALUE!</v>
      </c>
      <c r="S4" s="21"/>
      <c r="T4" s="32"/>
      <c r="U4" s="32"/>
      <c r="V4" s="32"/>
    </row>
    <row r="5" spans="1:22">
      <c r="A5" s="3" t="s">
        <v>59</v>
      </c>
      <c r="B5" s="4" t="s">
        <v>60</v>
      </c>
      <c r="C5" s="4"/>
      <c r="D5" s="4" t="s">
        <v>45</v>
      </c>
      <c r="E5" s="4" t="s">
        <v>8</v>
      </c>
      <c r="F5" s="4" t="s">
        <v>51</v>
      </c>
      <c r="G5" s="4" t="s">
        <v>61</v>
      </c>
      <c r="H5" s="4" t="s">
        <v>62</v>
      </c>
      <c r="I5" s="4">
        <v>10845</v>
      </c>
      <c r="J5" s="4">
        <v>9083</v>
      </c>
      <c r="K5" s="4">
        <v>3592</v>
      </c>
      <c r="L5" s="2">
        <f t="shared" si="0"/>
        <v>23520</v>
      </c>
      <c r="M5" s="4" t="s">
        <v>54</v>
      </c>
      <c r="N5" s="6" t="s">
        <v>3</v>
      </c>
      <c r="O5" s="21" t="str">
        <f t="shared" si="1"/>
        <v>DISCHARGED</v>
      </c>
      <c r="P5" s="21">
        <f t="shared" ca="1" si="2"/>
        <v>0</v>
      </c>
      <c r="Q5" s="21" t="str">
        <f t="shared" ca="1" si="3"/>
        <v>Fully_Paid</v>
      </c>
      <c r="R5" s="21" t="e">
        <f t="shared" ca="1" si="4"/>
        <v>#VALUE!</v>
      </c>
      <c r="S5" s="21"/>
      <c r="T5" s="32"/>
      <c r="U5" s="32"/>
      <c r="V5" s="32"/>
    </row>
    <row r="6" spans="1:22">
      <c r="A6" s="1" t="s">
        <v>63</v>
      </c>
      <c r="B6" s="2" t="s">
        <v>64</v>
      </c>
      <c r="C6" s="2"/>
      <c r="D6" s="2" t="s">
        <v>65</v>
      </c>
      <c r="E6" s="2" t="s">
        <v>10</v>
      </c>
      <c r="F6" s="2"/>
      <c r="G6" s="2" t="s">
        <v>66</v>
      </c>
      <c r="H6" s="2" t="s">
        <v>67</v>
      </c>
      <c r="I6" s="2">
        <v>19255</v>
      </c>
      <c r="J6" s="2">
        <v>9726</v>
      </c>
      <c r="K6" s="2">
        <v>8735</v>
      </c>
      <c r="L6" s="2">
        <f t="shared" si="0"/>
        <v>37716</v>
      </c>
      <c r="M6" s="2" t="s">
        <v>49</v>
      </c>
      <c r="N6" s="5" t="s">
        <v>3</v>
      </c>
      <c r="O6" s="21" t="str">
        <f t="shared" si="1"/>
        <v>DISCHARGED</v>
      </c>
      <c r="P6" s="21">
        <f t="shared" ca="1" si="2"/>
        <v>0</v>
      </c>
      <c r="Q6" s="21" t="str">
        <f t="shared" ca="1" si="3"/>
        <v>Fully_Paid</v>
      </c>
      <c r="R6" s="21" t="e">
        <f t="shared" ca="1" si="4"/>
        <v>#VALUE!</v>
      </c>
      <c r="S6" s="21"/>
      <c r="T6" s="32"/>
      <c r="U6" s="32"/>
      <c r="V6" s="32"/>
    </row>
    <row r="7" spans="1:22">
      <c r="A7" s="3" t="s">
        <v>68</v>
      </c>
      <c r="B7" s="4" t="s">
        <v>69</v>
      </c>
      <c r="C7" s="4"/>
      <c r="D7" s="4" t="s">
        <v>45</v>
      </c>
      <c r="E7" s="4" t="s">
        <v>6</v>
      </c>
      <c r="F7" s="4" t="s">
        <v>70</v>
      </c>
      <c r="G7" s="4" t="s">
        <v>71</v>
      </c>
      <c r="H7" s="4" t="s">
        <v>72</v>
      </c>
      <c r="I7" s="4">
        <v>16152</v>
      </c>
      <c r="J7" s="4">
        <v>6864</v>
      </c>
      <c r="K7" s="4">
        <v>12900</v>
      </c>
      <c r="L7" s="2">
        <f t="shared" si="0"/>
        <v>35916</v>
      </c>
      <c r="M7" s="4" t="s">
        <v>54</v>
      </c>
      <c r="N7" s="6" t="s">
        <v>3</v>
      </c>
      <c r="O7" s="21" t="str">
        <f t="shared" si="1"/>
        <v>DISCHARGED</v>
      </c>
      <c r="P7" s="21">
        <f t="shared" ca="1" si="2"/>
        <v>0</v>
      </c>
      <c r="Q7" s="21" t="str">
        <f t="shared" ca="1" si="3"/>
        <v>Fully_Paid</v>
      </c>
      <c r="R7" s="21">
        <f t="shared" ca="1" si="4"/>
        <v>61</v>
      </c>
      <c r="S7" s="21"/>
      <c r="T7" s="32"/>
      <c r="U7" s="32"/>
      <c r="V7" s="32"/>
    </row>
    <row r="8" spans="1:22">
      <c r="A8" s="1"/>
      <c r="B8" s="2" t="s">
        <v>73</v>
      </c>
      <c r="C8" s="2"/>
      <c r="D8" s="2" t="s">
        <v>65</v>
      </c>
      <c r="E8" s="2" t="s">
        <v>7</v>
      </c>
      <c r="F8" s="2" t="s">
        <v>74</v>
      </c>
      <c r="G8" s="2" t="s">
        <v>75</v>
      </c>
      <c r="H8" s="2" t="s">
        <v>76</v>
      </c>
      <c r="I8" s="2">
        <v>32498</v>
      </c>
      <c r="J8" s="2">
        <v>5103</v>
      </c>
      <c r="K8" s="2">
        <v>14780</v>
      </c>
      <c r="L8" s="2">
        <f t="shared" si="0"/>
        <v>52381</v>
      </c>
      <c r="M8" s="2" t="s">
        <v>54</v>
      </c>
      <c r="N8" s="5" t="s">
        <v>4</v>
      </c>
      <c r="O8" s="21" t="str">
        <f t="shared" si="1"/>
        <v>DISCHARGED</v>
      </c>
      <c r="P8" s="21" t="e">
        <f t="shared" ca="1" si="2"/>
        <v>#VALUE!</v>
      </c>
      <c r="Q8" s="21" t="e">
        <f t="shared" ca="1" si="3"/>
        <v>#VALUE!</v>
      </c>
      <c r="R8" s="21" t="e">
        <f t="shared" ca="1" si="4"/>
        <v>#VALUE!</v>
      </c>
      <c r="S8" s="21"/>
      <c r="T8" s="32"/>
      <c r="U8" s="32"/>
      <c r="V8" s="32"/>
    </row>
    <row r="9" spans="1:22">
      <c r="A9" s="3" t="s">
        <v>77</v>
      </c>
      <c r="B9" s="4" t="s">
        <v>78</v>
      </c>
      <c r="C9" s="4" t="s">
        <v>44</v>
      </c>
      <c r="D9" s="4" t="s">
        <v>65</v>
      </c>
      <c r="E9" s="4" t="s">
        <v>8</v>
      </c>
      <c r="F9" s="4" t="s">
        <v>51</v>
      </c>
      <c r="G9" s="4" t="s">
        <v>79</v>
      </c>
      <c r="H9" s="4"/>
      <c r="I9" s="4">
        <v>6860</v>
      </c>
      <c r="J9" s="4">
        <v>8450</v>
      </c>
      <c r="K9" s="4">
        <v>10620</v>
      </c>
      <c r="L9" s="2">
        <f t="shared" si="0"/>
        <v>25930</v>
      </c>
      <c r="M9" s="4" t="s">
        <v>49</v>
      </c>
      <c r="N9" s="6" t="s">
        <v>4</v>
      </c>
      <c r="O9" s="21" t="str">
        <f t="shared" si="1"/>
        <v>CURRENTLY ADMITTED</v>
      </c>
      <c r="P9" s="21" t="e">
        <f t="shared" ca="1" si="2"/>
        <v>#VALUE!</v>
      </c>
      <c r="Q9" s="21" t="e">
        <f t="shared" ca="1" si="3"/>
        <v>#VALUE!</v>
      </c>
      <c r="R9" s="21" t="e">
        <f t="shared" ca="1" si="4"/>
        <v>#VALUE!</v>
      </c>
      <c r="S9" s="21"/>
      <c r="T9" s="21"/>
      <c r="U9" s="21"/>
      <c r="V9" s="21"/>
    </row>
    <row r="10" spans="1:22">
      <c r="A10" s="1" t="s">
        <v>80</v>
      </c>
      <c r="B10" s="2" t="s">
        <v>81</v>
      </c>
      <c r="C10" s="2">
        <v>22</v>
      </c>
      <c r="D10" s="2" t="s">
        <v>45</v>
      </c>
      <c r="E10" s="2" t="s">
        <v>7</v>
      </c>
      <c r="F10" s="2" t="s">
        <v>51</v>
      </c>
      <c r="G10" s="2" t="s">
        <v>82</v>
      </c>
      <c r="H10" s="2" t="s">
        <v>83</v>
      </c>
      <c r="I10" s="2">
        <v>26430</v>
      </c>
      <c r="J10" s="2">
        <v>4953</v>
      </c>
      <c r="K10" s="2">
        <v>5606</v>
      </c>
      <c r="L10" s="2">
        <f t="shared" si="0"/>
        <v>36989</v>
      </c>
      <c r="M10" s="2" t="s">
        <v>49</v>
      </c>
      <c r="N10" s="5" t="s">
        <v>4</v>
      </c>
      <c r="O10" s="21" t="str">
        <f t="shared" si="1"/>
        <v>DISCHARGED</v>
      </c>
      <c r="P10" s="21" t="e">
        <f t="shared" ca="1" si="2"/>
        <v>#VALUE!</v>
      </c>
      <c r="Q10" s="21" t="e">
        <f t="shared" ca="1" si="3"/>
        <v>#VALUE!</v>
      </c>
      <c r="R10" s="21" t="e">
        <f t="shared" ca="1" si="4"/>
        <v>#VALUE!</v>
      </c>
      <c r="S10" s="21"/>
      <c r="T10" s="21"/>
      <c r="U10" s="21"/>
      <c r="V10" s="21"/>
    </row>
    <row r="11" spans="1:22">
      <c r="A11" s="3" t="s">
        <v>84</v>
      </c>
      <c r="B11" s="4" t="s">
        <v>85</v>
      </c>
      <c r="C11" s="4" t="s">
        <v>44</v>
      </c>
      <c r="D11" s="4" t="s">
        <v>45</v>
      </c>
      <c r="E11" s="4" t="s">
        <v>9</v>
      </c>
      <c r="F11" s="4" t="s">
        <v>51</v>
      </c>
      <c r="G11" s="4" t="s">
        <v>86</v>
      </c>
      <c r="H11" s="4" t="s">
        <v>87</v>
      </c>
      <c r="I11" s="4">
        <v>23294</v>
      </c>
      <c r="J11" s="4">
        <v>8936</v>
      </c>
      <c r="K11" s="4">
        <v>13890</v>
      </c>
      <c r="L11" s="2">
        <f t="shared" si="0"/>
        <v>46120</v>
      </c>
      <c r="M11" s="4" t="s">
        <v>54</v>
      </c>
      <c r="N11" s="6" t="s">
        <v>4</v>
      </c>
      <c r="O11" s="21" t="str">
        <f t="shared" si="1"/>
        <v>DISCHARGED</v>
      </c>
      <c r="P11" s="21">
        <f t="shared" ca="1" si="2"/>
        <v>353</v>
      </c>
      <c r="Q11" s="21" t="str">
        <f t="shared" ca="1" si="3"/>
        <v>61+ days overdue</v>
      </c>
      <c r="R11" s="21">
        <f t="shared" ca="1" si="4"/>
        <v>92</v>
      </c>
      <c r="S11" s="21"/>
      <c r="T11" s="21"/>
      <c r="U11" s="21"/>
      <c r="V11" s="21"/>
    </row>
    <row r="12" spans="1:22">
      <c r="A12" s="1" t="s">
        <v>88</v>
      </c>
      <c r="B12" s="2"/>
      <c r="C12" s="2"/>
      <c r="D12" s="2" t="s">
        <v>65</v>
      </c>
      <c r="E12" s="2" t="s">
        <v>6</v>
      </c>
      <c r="F12" s="2" t="s">
        <v>46</v>
      </c>
      <c r="G12" s="2" t="s">
        <v>89</v>
      </c>
      <c r="H12" s="2" t="s">
        <v>90</v>
      </c>
      <c r="I12" s="2">
        <v>43912</v>
      </c>
      <c r="J12" s="2">
        <v>9144</v>
      </c>
      <c r="K12" s="2">
        <v>12484</v>
      </c>
      <c r="L12" s="2">
        <f t="shared" si="0"/>
        <v>65540</v>
      </c>
      <c r="M12" s="2" t="s">
        <v>54</v>
      </c>
      <c r="N12" s="5" t="s">
        <v>3</v>
      </c>
      <c r="O12" s="21" t="str">
        <f t="shared" si="1"/>
        <v>DISCHARGED</v>
      </c>
      <c r="P12" s="21">
        <f t="shared" ca="1" si="2"/>
        <v>0</v>
      </c>
      <c r="Q12" s="21" t="str">
        <f t="shared" ca="1" si="3"/>
        <v>Fully_Paid</v>
      </c>
      <c r="R12" s="21" t="e">
        <f t="shared" ca="1" si="4"/>
        <v>#VALUE!</v>
      </c>
      <c r="S12" s="21"/>
      <c r="T12" s="21"/>
      <c r="U12" s="21"/>
      <c r="V12" s="21"/>
    </row>
    <row r="13" spans="1:22">
      <c r="A13" s="3" t="s">
        <v>91</v>
      </c>
      <c r="B13" s="4" t="s">
        <v>85</v>
      </c>
      <c r="C13" s="4" t="s">
        <v>44</v>
      </c>
      <c r="D13" s="4"/>
      <c r="E13" s="4" t="s">
        <v>9</v>
      </c>
      <c r="F13" s="4" t="s">
        <v>70</v>
      </c>
      <c r="G13" s="4" t="s">
        <v>92</v>
      </c>
      <c r="H13" s="4" t="s">
        <v>93</v>
      </c>
      <c r="I13" s="4">
        <v>27037</v>
      </c>
      <c r="J13" s="4">
        <v>7828</v>
      </c>
      <c r="K13" s="4">
        <v>14686</v>
      </c>
      <c r="L13" s="2">
        <f t="shared" si="0"/>
        <v>49551</v>
      </c>
      <c r="M13" s="4" t="s">
        <v>49</v>
      </c>
      <c r="N13" s="6" t="s">
        <v>3</v>
      </c>
      <c r="O13" s="21" t="str">
        <f t="shared" si="1"/>
        <v>DISCHARGED</v>
      </c>
      <c r="P13" s="21">
        <f t="shared" ca="1" si="2"/>
        <v>0</v>
      </c>
      <c r="Q13" s="21" t="str">
        <f t="shared" ca="1" si="3"/>
        <v>Fully_Paid</v>
      </c>
      <c r="R13" s="21" t="e">
        <f t="shared" ca="1" si="4"/>
        <v>#VALUE!</v>
      </c>
      <c r="S13" s="21"/>
      <c r="T13" s="21"/>
      <c r="U13" s="21"/>
      <c r="V13" s="21"/>
    </row>
    <row r="14" spans="1:22">
      <c r="A14" s="1" t="s">
        <v>94</v>
      </c>
      <c r="B14" s="2" t="s">
        <v>95</v>
      </c>
      <c r="C14" s="2" t="s">
        <v>44</v>
      </c>
      <c r="D14" s="2" t="s">
        <v>65</v>
      </c>
      <c r="E14" s="2" t="s">
        <v>7</v>
      </c>
      <c r="F14" s="2"/>
      <c r="G14" s="2" t="s">
        <v>96</v>
      </c>
      <c r="H14" s="2" t="s">
        <v>97</v>
      </c>
      <c r="I14" s="2">
        <v>31969</v>
      </c>
      <c r="J14" s="2">
        <v>3209</v>
      </c>
      <c r="K14" s="2">
        <v>3708</v>
      </c>
      <c r="L14" s="2">
        <f t="shared" si="0"/>
        <v>38886</v>
      </c>
      <c r="M14" s="2" t="s">
        <v>54</v>
      </c>
      <c r="N14" s="5" t="s">
        <v>3</v>
      </c>
      <c r="O14" s="21" t="str">
        <f t="shared" si="1"/>
        <v>DISCHARGED</v>
      </c>
      <c r="P14" s="21">
        <f t="shared" ca="1" si="2"/>
        <v>0</v>
      </c>
      <c r="Q14" s="21" t="str">
        <f t="shared" ca="1" si="3"/>
        <v>Fully_Paid</v>
      </c>
      <c r="R14" s="21" t="e">
        <f t="shared" ca="1" si="4"/>
        <v>#VALUE!</v>
      </c>
      <c r="S14" s="21"/>
      <c r="T14" s="21"/>
      <c r="U14" s="21"/>
      <c r="V14" s="21"/>
    </row>
    <row r="15" spans="1:22">
      <c r="A15" s="3" t="s">
        <v>98</v>
      </c>
      <c r="B15" s="4" t="s">
        <v>85</v>
      </c>
      <c r="C15" s="4" t="s">
        <v>44</v>
      </c>
      <c r="D15" s="4" t="s">
        <v>45</v>
      </c>
      <c r="E15" s="4" t="s">
        <v>9</v>
      </c>
      <c r="F15" s="4" t="s">
        <v>51</v>
      </c>
      <c r="G15" s="4" t="s">
        <v>99</v>
      </c>
      <c r="H15" s="4" t="s">
        <v>100</v>
      </c>
      <c r="I15" s="4">
        <v>40456</v>
      </c>
      <c r="J15" s="4">
        <v>2457</v>
      </c>
      <c r="K15" s="4">
        <v>12147</v>
      </c>
      <c r="L15" s="2">
        <f t="shared" si="0"/>
        <v>55060</v>
      </c>
      <c r="M15" s="4" t="s">
        <v>49</v>
      </c>
      <c r="N15" s="6" t="s">
        <v>3</v>
      </c>
      <c r="O15" s="21" t="str">
        <f t="shared" si="1"/>
        <v>DISCHARGED</v>
      </c>
      <c r="P15" s="21">
        <f t="shared" ca="1" si="2"/>
        <v>0</v>
      </c>
      <c r="Q15" s="21" t="str">
        <f t="shared" ca="1" si="3"/>
        <v>Fully_Paid</v>
      </c>
      <c r="R15" s="21">
        <f t="shared" ca="1" si="4"/>
        <v>92</v>
      </c>
      <c r="S15" s="21"/>
      <c r="T15" s="21"/>
      <c r="U15" s="21"/>
      <c r="V15" s="21"/>
    </row>
    <row r="16" spans="1:22">
      <c r="A16" s="1" t="s">
        <v>101</v>
      </c>
      <c r="B16" s="2" t="s">
        <v>85</v>
      </c>
      <c r="C16" s="2"/>
      <c r="D16" s="2" t="s">
        <v>65</v>
      </c>
      <c r="E16" s="2" t="s">
        <v>7</v>
      </c>
      <c r="F16" s="2" t="s">
        <v>70</v>
      </c>
      <c r="G16" s="2" t="s">
        <v>102</v>
      </c>
      <c r="H16" s="2" t="s">
        <v>103</v>
      </c>
      <c r="I16" s="2">
        <v>16778</v>
      </c>
      <c r="J16" s="2">
        <v>1255</v>
      </c>
      <c r="K16" s="2" t="s">
        <v>104</v>
      </c>
      <c r="L16" s="2">
        <f t="shared" si="0"/>
        <v>18033</v>
      </c>
      <c r="M16" s="2" t="s">
        <v>49</v>
      </c>
      <c r="N16" s="5" t="s">
        <v>3</v>
      </c>
      <c r="O16" s="21" t="str">
        <f t="shared" si="1"/>
        <v>DISCHARGED</v>
      </c>
      <c r="P16" s="21">
        <f t="shared" ca="1" si="2"/>
        <v>0</v>
      </c>
      <c r="Q16" s="21" t="str">
        <f t="shared" ca="1" si="3"/>
        <v>Fully_Paid</v>
      </c>
      <c r="R16" s="21" t="e">
        <f t="shared" ca="1" si="4"/>
        <v>#VALUE!</v>
      </c>
      <c r="S16" s="21"/>
      <c r="T16" s="21"/>
      <c r="U16" s="21"/>
      <c r="V16" s="21"/>
    </row>
    <row r="17" spans="1:18">
      <c r="A17" s="3" t="s">
        <v>105</v>
      </c>
      <c r="B17" s="4"/>
      <c r="C17" s="4">
        <v>20</v>
      </c>
      <c r="D17" s="4" t="s">
        <v>45</v>
      </c>
      <c r="E17" s="4" t="s">
        <v>10</v>
      </c>
      <c r="F17" s="4" t="s">
        <v>46</v>
      </c>
      <c r="G17" s="4" t="s">
        <v>106</v>
      </c>
      <c r="H17" s="4" t="s">
        <v>107</v>
      </c>
      <c r="I17" s="4">
        <v>5454</v>
      </c>
      <c r="J17" s="4">
        <v>9515</v>
      </c>
      <c r="K17" s="4">
        <v>9364</v>
      </c>
      <c r="L17" s="2">
        <f t="shared" si="0"/>
        <v>24333</v>
      </c>
      <c r="M17" s="4" t="s">
        <v>49</v>
      </c>
      <c r="N17" s="6" t="s">
        <v>4</v>
      </c>
      <c r="O17" s="21" t="str">
        <f t="shared" si="1"/>
        <v>DISCHARGED</v>
      </c>
      <c r="P17" s="21">
        <f t="shared" ca="1" si="2"/>
        <v>434</v>
      </c>
      <c r="Q17" s="21" t="str">
        <f t="shared" ca="1" si="3"/>
        <v>61+ days overdue</v>
      </c>
      <c r="R17" s="21" t="e">
        <f t="shared" ca="1" si="4"/>
        <v>#VALUE!</v>
      </c>
    </row>
    <row r="18" spans="1:18">
      <c r="A18" s="1" t="s">
        <v>108</v>
      </c>
      <c r="B18" s="2" t="s">
        <v>69</v>
      </c>
      <c r="C18" s="2" t="s">
        <v>44</v>
      </c>
      <c r="D18" s="2" t="s">
        <v>45</v>
      </c>
      <c r="E18" s="2" t="s">
        <v>6</v>
      </c>
      <c r="F18" s="2" t="s">
        <v>51</v>
      </c>
      <c r="G18" s="2" t="s">
        <v>109</v>
      </c>
      <c r="H18" s="2" t="s">
        <v>110</v>
      </c>
      <c r="I18" s="2">
        <v>10417</v>
      </c>
      <c r="J18" s="2">
        <v>3843</v>
      </c>
      <c r="K18" s="2">
        <v>13911</v>
      </c>
      <c r="L18" s="2">
        <f t="shared" si="0"/>
        <v>28171</v>
      </c>
      <c r="M18" s="2" t="s">
        <v>49</v>
      </c>
      <c r="N18" s="5" t="s">
        <v>3</v>
      </c>
      <c r="O18" s="21" t="str">
        <f t="shared" si="1"/>
        <v>DISCHARGED</v>
      </c>
      <c r="P18" s="21">
        <f t="shared" ca="1" si="2"/>
        <v>0</v>
      </c>
      <c r="Q18" s="21" t="str">
        <f t="shared" ca="1" si="3"/>
        <v>Fully_Paid</v>
      </c>
      <c r="R18" s="21" t="e">
        <f t="shared" ca="1" si="4"/>
        <v>#VALUE!</v>
      </c>
    </row>
    <row r="19" spans="1:18">
      <c r="A19" s="3" t="s">
        <v>111</v>
      </c>
      <c r="B19" s="4" t="s">
        <v>112</v>
      </c>
      <c r="C19" s="4">
        <v>49</v>
      </c>
      <c r="D19" s="4" t="s">
        <v>65</v>
      </c>
      <c r="E19" s="4" t="s">
        <v>9</v>
      </c>
      <c r="F19" s="4" t="s">
        <v>74</v>
      </c>
      <c r="G19" s="4" t="s">
        <v>113</v>
      </c>
      <c r="H19" s="4"/>
      <c r="I19" s="4">
        <v>14387</v>
      </c>
      <c r="J19" s="4">
        <v>2538</v>
      </c>
      <c r="K19" s="4">
        <v>4398</v>
      </c>
      <c r="L19" s="2">
        <f t="shared" si="0"/>
        <v>21323</v>
      </c>
      <c r="M19" s="4" t="s">
        <v>49</v>
      </c>
      <c r="N19" s="6" t="s">
        <v>3</v>
      </c>
      <c r="O19" s="21" t="str">
        <f t="shared" si="1"/>
        <v>CURRENTLY ADMITTED</v>
      </c>
      <c r="P19" s="21">
        <f t="shared" ca="1" si="2"/>
        <v>0</v>
      </c>
      <c r="Q19" s="21" t="str">
        <f t="shared" ca="1" si="3"/>
        <v>Fully_Paid</v>
      </c>
      <c r="R19" s="21">
        <f t="shared" ca="1" si="4"/>
        <v>378</v>
      </c>
    </row>
    <row r="20" spans="1:18">
      <c r="A20" s="1" t="s">
        <v>114</v>
      </c>
      <c r="B20" s="2" t="s">
        <v>81</v>
      </c>
      <c r="C20" s="2">
        <v>79</v>
      </c>
      <c r="D20" s="2" t="s">
        <v>45</v>
      </c>
      <c r="E20" s="2" t="s">
        <v>7</v>
      </c>
      <c r="F20" s="2" t="s">
        <v>46</v>
      </c>
      <c r="G20" s="2" t="s">
        <v>75</v>
      </c>
      <c r="H20" s="2" t="s">
        <v>115</v>
      </c>
      <c r="I20" s="2">
        <v>47484</v>
      </c>
      <c r="J20" s="2" t="s">
        <v>104</v>
      </c>
      <c r="K20" s="2">
        <v>5649</v>
      </c>
      <c r="L20" s="2">
        <f t="shared" si="0"/>
        <v>53133</v>
      </c>
      <c r="M20" s="2" t="s">
        <v>49</v>
      </c>
      <c r="N20" s="5" t="s">
        <v>3</v>
      </c>
      <c r="O20" s="21" t="str">
        <f t="shared" si="1"/>
        <v>DISCHARGED</v>
      </c>
      <c r="P20" s="21">
        <f t="shared" ca="1" si="2"/>
        <v>0</v>
      </c>
      <c r="Q20" s="21" t="str">
        <f t="shared" ca="1" si="3"/>
        <v>Fully_Paid</v>
      </c>
      <c r="R20" s="21" t="e">
        <f t="shared" ca="1" si="4"/>
        <v>#VALUE!</v>
      </c>
    </row>
    <row r="21" spans="1:18">
      <c r="A21" s="3" t="s">
        <v>116</v>
      </c>
      <c r="B21" s="4" t="s">
        <v>95</v>
      </c>
      <c r="C21" s="4"/>
      <c r="D21" s="4" t="s">
        <v>65</v>
      </c>
      <c r="E21" s="4" t="s">
        <v>7</v>
      </c>
      <c r="F21" s="4" t="s">
        <v>56</v>
      </c>
      <c r="G21" s="4" t="s">
        <v>117</v>
      </c>
      <c r="H21" s="4" t="s">
        <v>118</v>
      </c>
      <c r="I21" s="4">
        <v>16091</v>
      </c>
      <c r="J21" s="4">
        <v>4774</v>
      </c>
      <c r="K21" s="4">
        <v>13387</v>
      </c>
      <c r="L21" s="2">
        <f t="shared" si="0"/>
        <v>34252</v>
      </c>
      <c r="M21" s="4" t="s">
        <v>54</v>
      </c>
      <c r="N21" s="6" t="s">
        <v>3</v>
      </c>
      <c r="O21" s="21" t="str">
        <f t="shared" si="1"/>
        <v>DISCHARGED</v>
      </c>
      <c r="P21" s="21">
        <f t="shared" ca="1" si="2"/>
        <v>0</v>
      </c>
      <c r="Q21" s="21" t="str">
        <f t="shared" ca="1" si="3"/>
        <v>Fully_Paid</v>
      </c>
      <c r="R21" s="21" t="e">
        <f t="shared" ca="1" si="4"/>
        <v>#VALUE!</v>
      </c>
    </row>
    <row r="22" spans="1:18">
      <c r="A22" s="1" t="s">
        <v>119</v>
      </c>
      <c r="B22" s="2"/>
      <c r="C22" s="2" t="s">
        <v>44</v>
      </c>
      <c r="D22" s="2" t="s">
        <v>45</v>
      </c>
      <c r="E22" s="2" t="s">
        <v>8</v>
      </c>
      <c r="F22" s="2" t="s">
        <v>70</v>
      </c>
      <c r="G22" s="12">
        <v>45886</v>
      </c>
      <c r="H22" s="2" t="s">
        <v>120</v>
      </c>
      <c r="I22" s="2">
        <v>18619</v>
      </c>
      <c r="J22" s="2">
        <v>2052</v>
      </c>
      <c r="K22" s="2">
        <v>3225</v>
      </c>
      <c r="L22" s="2">
        <f t="shared" si="0"/>
        <v>23896</v>
      </c>
      <c r="M22" s="2"/>
      <c r="N22" s="5" t="s">
        <v>4</v>
      </c>
      <c r="O22" s="21" t="str">
        <f t="shared" si="1"/>
        <v>DISCHARGED</v>
      </c>
      <c r="P22" s="21" t="e">
        <f t="shared" ca="1" si="2"/>
        <v>#VALUE!</v>
      </c>
      <c r="Q22" s="21" t="e">
        <f t="shared" ca="1" si="3"/>
        <v>#VALUE!</v>
      </c>
      <c r="R22" s="21" t="e">
        <f t="shared" ca="1" si="4"/>
        <v>#VALUE!</v>
      </c>
    </row>
    <row r="23" spans="1:18">
      <c r="A23" s="3" t="s">
        <v>121</v>
      </c>
      <c r="B23" s="4" t="s">
        <v>50</v>
      </c>
      <c r="C23" s="4" t="s">
        <v>44</v>
      </c>
      <c r="D23" s="4" t="s">
        <v>65</v>
      </c>
      <c r="E23" s="4" t="s">
        <v>10</v>
      </c>
      <c r="F23" s="4" t="s">
        <v>56</v>
      </c>
      <c r="G23" s="4" t="s">
        <v>122</v>
      </c>
      <c r="H23" s="4" t="s">
        <v>123</v>
      </c>
      <c r="I23" s="4">
        <v>20556</v>
      </c>
      <c r="J23" s="4">
        <v>8212</v>
      </c>
      <c r="K23" s="4">
        <v>3488</v>
      </c>
      <c r="L23" s="2">
        <f t="shared" si="0"/>
        <v>32256</v>
      </c>
      <c r="M23" s="4" t="s">
        <v>49</v>
      </c>
      <c r="N23" s="6" t="s">
        <v>4</v>
      </c>
      <c r="O23" s="21" t="str">
        <f t="shared" si="1"/>
        <v>DISCHARGED</v>
      </c>
      <c r="P23" s="21">
        <f t="shared" ca="1" si="2"/>
        <v>192</v>
      </c>
      <c r="Q23" s="21" t="str">
        <f t="shared" ca="1" si="3"/>
        <v>61+ days overdue</v>
      </c>
      <c r="R23" s="21">
        <f t="shared" ca="1" si="4"/>
        <v>273</v>
      </c>
    </row>
    <row r="24" spans="1:18">
      <c r="A24" s="1" t="s">
        <v>124</v>
      </c>
      <c r="B24" s="2" t="s">
        <v>78</v>
      </c>
      <c r="C24" s="2"/>
      <c r="D24" s="2" t="s">
        <v>65</v>
      </c>
      <c r="E24" s="2" t="s">
        <v>9</v>
      </c>
      <c r="F24" s="2" t="s">
        <v>56</v>
      </c>
      <c r="G24" s="2" t="s">
        <v>125</v>
      </c>
      <c r="H24" s="2" t="s">
        <v>126</v>
      </c>
      <c r="I24" s="2">
        <v>25010</v>
      </c>
      <c r="J24" s="2">
        <v>9365</v>
      </c>
      <c r="K24" s="2">
        <v>10018</v>
      </c>
      <c r="L24" s="2">
        <f t="shared" si="0"/>
        <v>44393</v>
      </c>
      <c r="M24" s="2" t="s">
        <v>54</v>
      </c>
      <c r="N24" s="5" t="s">
        <v>3</v>
      </c>
      <c r="O24" s="21" t="str">
        <f t="shared" si="1"/>
        <v>DISCHARGED</v>
      </c>
      <c r="P24" s="21">
        <f t="shared" ca="1" si="2"/>
        <v>0</v>
      </c>
      <c r="Q24" s="21" t="str">
        <f t="shared" ca="1" si="3"/>
        <v>Fully_Paid</v>
      </c>
      <c r="R24" s="21" t="e">
        <f t="shared" ca="1" si="4"/>
        <v>#VALUE!</v>
      </c>
    </row>
    <row r="25" spans="1:18">
      <c r="A25" s="3" t="s">
        <v>127</v>
      </c>
      <c r="B25" s="4" t="s">
        <v>60</v>
      </c>
      <c r="C25" s="4">
        <v>26</v>
      </c>
      <c r="D25" s="4" t="s">
        <v>45</v>
      </c>
      <c r="E25" s="4" t="s">
        <v>9</v>
      </c>
      <c r="F25" s="4" t="s">
        <v>46</v>
      </c>
      <c r="G25" s="4" t="s">
        <v>128</v>
      </c>
      <c r="H25" s="4"/>
      <c r="I25" s="4">
        <v>38696</v>
      </c>
      <c r="J25" s="4">
        <v>4893</v>
      </c>
      <c r="K25" s="4">
        <v>3332</v>
      </c>
      <c r="L25" s="2">
        <f t="shared" si="0"/>
        <v>46921</v>
      </c>
      <c r="M25" s="4" t="s">
        <v>54</v>
      </c>
      <c r="N25" s="6"/>
      <c r="O25" s="21" t="str">
        <f t="shared" si="1"/>
        <v>CURRENTLY ADMITTED</v>
      </c>
      <c r="P25" s="21">
        <f t="shared" ca="1" si="2"/>
        <v>0</v>
      </c>
      <c r="Q25" s="21" t="str">
        <f t="shared" ca="1" si="3"/>
        <v>Fully_Paid</v>
      </c>
      <c r="R25" s="21">
        <f t="shared" ca="1" si="4"/>
        <v>230</v>
      </c>
    </row>
    <row r="26" spans="1:18">
      <c r="A26" s="1" t="s">
        <v>129</v>
      </c>
      <c r="B26" s="2" t="s">
        <v>130</v>
      </c>
      <c r="C26" s="2">
        <v>54</v>
      </c>
      <c r="D26" s="2" t="s">
        <v>65</v>
      </c>
      <c r="E26" s="2" t="s">
        <v>10</v>
      </c>
      <c r="F26" s="2" t="s">
        <v>46</v>
      </c>
      <c r="G26" s="2" t="s">
        <v>131</v>
      </c>
      <c r="H26" s="2" t="s">
        <v>132</v>
      </c>
      <c r="I26" s="2">
        <v>29434</v>
      </c>
      <c r="J26" s="2">
        <v>9175</v>
      </c>
      <c r="K26" s="2">
        <v>9359</v>
      </c>
      <c r="L26" s="2">
        <f t="shared" si="0"/>
        <v>47968</v>
      </c>
      <c r="M26" s="2" t="s">
        <v>49</v>
      </c>
      <c r="N26" s="5" t="s">
        <v>4</v>
      </c>
      <c r="O26" s="21" t="str">
        <f t="shared" si="1"/>
        <v>DISCHARGED</v>
      </c>
      <c r="P26" s="21" t="e">
        <f t="shared" ca="1" si="2"/>
        <v>#VALUE!</v>
      </c>
      <c r="Q26" s="21" t="e">
        <f t="shared" ca="1" si="3"/>
        <v>#VALUE!</v>
      </c>
      <c r="R26" s="21" t="e">
        <f t="shared" ca="1" si="4"/>
        <v>#VALUE!</v>
      </c>
    </row>
    <row r="27" spans="1:18">
      <c r="A27" s="3" t="s">
        <v>133</v>
      </c>
      <c r="B27" s="4" t="s">
        <v>130</v>
      </c>
      <c r="C27" s="4"/>
      <c r="D27" s="4" t="s">
        <v>45</v>
      </c>
      <c r="E27" s="4" t="s">
        <v>7</v>
      </c>
      <c r="F27" s="4" t="s">
        <v>51</v>
      </c>
      <c r="G27" s="4" t="s">
        <v>134</v>
      </c>
      <c r="H27" s="4" t="s">
        <v>135</v>
      </c>
      <c r="I27" s="4">
        <v>32381</v>
      </c>
      <c r="J27" s="4">
        <v>1265</v>
      </c>
      <c r="K27" s="4">
        <v>14056</v>
      </c>
      <c r="L27" s="2">
        <f t="shared" si="0"/>
        <v>47702</v>
      </c>
      <c r="M27" s="4" t="s">
        <v>54</v>
      </c>
      <c r="N27" s="6" t="s">
        <v>3</v>
      </c>
      <c r="O27" s="21" t="str">
        <f t="shared" si="1"/>
        <v>DISCHARGED</v>
      </c>
      <c r="P27" s="21">
        <f t="shared" ca="1" si="2"/>
        <v>0</v>
      </c>
      <c r="Q27" s="21" t="str">
        <f t="shared" ca="1" si="3"/>
        <v>Fully_Paid</v>
      </c>
      <c r="R27" s="21" t="e">
        <f t="shared" ca="1" si="4"/>
        <v>#VALUE!</v>
      </c>
    </row>
    <row r="28" spans="1:18">
      <c r="A28" s="1"/>
      <c r="B28" s="2" t="s">
        <v>73</v>
      </c>
      <c r="C28" s="2"/>
      <c r="D28" s="2" t="s">
        <v>45</v>
      </c>
      <c r="E28" s="2" t="s">
        <v>6</v>
      </c>
      <c r="F28" s="2" t="s">
        <v>46</v>
      </c>
      <c r="G28" s="2" t="s">
        <v>136</v>
      </c>
      <c r="H28" s="2" t="s">
        <v>137</v>
      </c>
      <c r="I28" s="2">
        <v>29822</v>
      </c>
      <c r="J28" s="2">
        <v>6213</v>
      </c>
      <c r="K28" s="2">
        <v>3200</v>
      </c>
      <c r="L28" s="2">
        <f t="shared" si="0"/>
        <v>39235</v>
      </c>
      <c r="M28" s="2" t="s">
        <v>54</v>
      </c>
      <c r="N28" s="5" t="s">
        <v>4</v>
      </c>
      <c r="O28" s="21" t="str">
        <f t="shared" si="1"/>
        <v>DISCHARGED</v>
      </c>
      <c r="P28" s="21" t="e">
        <f t="shared" ca="1" si="2"/>
        <v>#VALUE!</v>
      </c>
      <c r="Q28" s="21" t="e">
        <f t="shared" ca="1" si="3"/>
        <v>#VALUE!</v>
      </c>
      <c r="R28" s="21" t="e">
        <f t="shared" ca="1" si="4"/>
        <v>#VALUE!</v>
      </c>
    </row>
    <row r="29" spans="1:18">
      <c r="A29" s="3" t="s">
        <v>138</v>
      </c>
      <c r="B29" s="4" t="s">
        <v>81</v>
      </c>
      <c r="C29" s="4"/>
      <c r="D29" s="4" t="s">
        <v>45</v>
      </c>
      <c r="E29" s="4" t="s">
        <v>6</v>
      </c>
      <c r="F29" s="4" t="s">
        <v>56</v>
      </c>
      <c r="G29" s="4" t="s">
        <v>139</v>
      </c>
      <c r="H29" s="4" t="s">
        <v>140</v>
      </c>
      <c r="I29" s="4" t="s">
        <v>104</v>
      </c>
      <c r="J29" s="4">
        <v>5202</v>
      </c>
      <c r="K29" s="4">
        <v>11429</v>
      </c>
      <c r="L29" s="2">
        <f t="shared" si="0"/>
        <v>16631</v>
      </c>
      <c r="M29" s="4" t="s">
        <v>49</v>
      </c>
      <c r="N29" s="6" t="s">
        <v>3</v>
      </c>
      <c r="O29" s="21" t="str">
        <f t="shared" si="1"/>
        <v>DISCHARGED</v>
      </c>
      <c r="P29" s="21">
        <f t="shared" ca="1" si="2"/>
        <v>0</v>
      </c>
      <c r="Q29" s="21" t="str">
        <f t="shared" ca="1" si="3"/>
        <v>Fully_Paid</v>
      </c>
      <c r="R29" s="21">
        <f t="shared" ca="1" si="4"/>
        <v>31</v>
      </c>
    </row>
    <row r="30" spans="1:18">
      <c r="A30" s="1" t="s">
        <v>141</v>
      </c>
      <c r="B30" s="2" t="s">
        <v>64</v>
      </c>
      <c r="C30" s="2"/>
      <c r="D30" s="2" t="s">
        <v>65</v>
      </c>
      <c r="E30" s="2" t="s">
        <v>10</v>
      </c>
      <c r="F30" s="2" t="s">
        <v>56</v>
      </c>
      <c r="G30" s="2" t="s">
        <v>142</v>
      </c>
      <c r="H30" s="2" t="s">
        <v>143</v>
      </c>
      <c r="I30" s="2">
        <v>49980</v>
      </c>
      <c r="J30" s="2">
        <v>1168</v>
      </c>
      <c r="K30" s="2">
        <v>2073</v>
      </c>
      <c r="L30" s="2">
        <f t="shared" si="0"/>
        <v>53221</v>
      </c>
      <c r="M30" s="2" t="s">
        <v>49</v>
      </c>
      <c r="N30" s="5" t="s">
        <v>3</v>
      </c>
      <c r="O30" s="21" t="str">
        <f t="shared" si="1"/>
        <v>DISCHARGED</v>
      </c>
      <c r="P30" s="21">
        <f t="shared" ca="1" si="2"/>
        <v>0</v>
      </c>
      <c r="Q30" s="21" t="str">
        <f t="shared" ca="1" si="3"/>
        <v>Fully_Paid</v>
      </c>
      <c r="R30" s="21" t="e">
        <f t="shared" ca="1" si="4"/>
        <v>#VALUE!</v>
      </c>
    </row>
    <row r="31" spans="1:18">
      <c r="A31" s="3" t="s">
        <v>144</v>
      </c>
      <c r="B31" s="4" t="s">
        <v>130</v>
      </c>
      <c r="C31" s="4">
        <v>24</v>
      </c>
      <c r="D31" s="4" t="s">
        <v>65</v>
      </c>
      <c r="E31" s="4" t="s">
        <v>6</v>
      </c>
      <c r="F31" s="4" t="s">
        <v>51</v>
      </c>
      <c r="G31" s="4" t="s">
        <v>145</v>
      </c>
      <c r="H31" s="4" t="s">
        <v>146</v>
      </c>
      <c r="I31" s="4">
        <v>12058</v>
      </c>
      <c r="J31" s="4">
        <v>5930</v>
      </c>
      <c r="K31" s="4">
        <v>5817</v>
      </c>
      <c r="L31" s="2">
        <f t="shared" si="0"/>
        <v>23805</v>
      </c>
      <c r="M31" s="4" t="s">
        <v>49</v>
      </c>
      <c r="N31" s="6" t="s">
        <v>4</v>
      </c>
      <c r="O31" s="21" t="str">
        <f t="shared" si="1"/>
        <v>DISCHARGED</v>
      </c>
      <c r="P31" s="21" t="e">
        <f t="shared" ca="1" si="2"/>
        <v>#VALUE!</v>
      </c>
      <c r="Q31" s="21" t="e">
        <f t="shared" ca="1" si="3"/>
        <v>#VALUE!</v>
      </c>
      <c r="R31" s="21" t="e">
        <f t="shared" ca="1" si="4"/>
        <v>#VALUE!</v>
      </c>
    </row>
    <row r="32" spans="1:18">
      <c r="A32" s="1" t="s">
        <v>147</v>
      </c>
      <c r="B32" s="2"/>
      <c r="C32" s="2"/>
      <c r="D32" s="2" t="s">
        <v>65</v>
      </c>
      <c r="E32" s="2" t="s">
        <v>10</v>
      </c>
      <c r="F32" s="2" t="s">
        <v>46</v>
      </c>
      <c r="G32" s="2" t="s">
        <v>97</v>
      </c>
      <c r="H32" s="2" t="s">
        <v>148</v>
      </c>
      <c r="I32" s="2">
        <v>44361</v>
      </c>
      <c r="J32" s="2">
        <v>8443</v>
      </c>
      <c r="K32" s="2">
        <v>12691</v>
      </c>
      <c r="L32" s="2">
        <f t="shared" si="0"/>
        <v>65495</v>
      </c>
      <c r="M32" s="2" t="s">
        <v>54</v>
      </c>
      <c r="N32" s="5" t="s">
        <v>3</v>
      </c>
      <c r="O32" s="21" t="str">
        <f t="shared" si="1"/>
        <v>DISCHARGED</v>
      </c>
      <c r="P32" s="21">
        <f t="shared" ca="1" si="2"/>
        <v>0</v>
      </c>
      <c r="Q32" s="21" t="str">
        <f t="shared" ca="1" si="3"/>
        <v>Fully_Paid</v>
      </c>
      <c r="R32" s="21" t="e">
        <f t="shared" ca="1" si="4"/>
        <v>#VALUE!</v>
      </c>
    </row>
    <row r="33" spans="1:18">
      <c r="A33" s="3" t="s">
        <v>149</v>
      </c>
      <c r="B33" s="4" t="s">
        <v>130</v>
      </c>
      <c r="C33" s="4">
        <v>8</v>
      </c>
      <c r="D33" s="4" t="s">
        <v>45</v>
      </c>
      <c r="E33" s="4" t="s">
        <v>6</v>
      </c>
      <c r="F33" s="4" t="s">
        <v>46</v>
      </c>
      <c r="G33" s="4" t="s">
        <v>150</v>
      </c>
      <c r="H33" s="4"/>
      <c r="I33" s="4">
        <v>11482</v>
      </c>
      <c r="J33" s="4">
        <v>9824</v>
      </c>
      <c r="K33" s="4">
        <v>8885</v>
      </c>
      <c r="L33" s="2">
        <f t="shared" si="0"/>
        <v>30191</v>
      </c>
      <c r="M33" s="4" t="s">
        <v>54</v>
      </c>
      <c r="N33" s="6" t="s">
        <v>3</v>
      </c>
      <c r="O33" s="21" t="str">
        <f t="shared" si="1"/>
        <v>CURRENTLY ADMITTED</v>
      </c>
      <c r="P33" s="21">
        <f t="shared" ca="1" si="2"/>
        <v>0</v>
      </c>
      <c r="Q33" s="21" t="str">
        <f t="shared" ca="1" si="3"/>
        <v>Fully_Paid</v>
      </c>
      <c r="R33" s="21">
        <f t="shared" ca="1" si="4"/>
        <v>191</v>
      </c>
    </row>
    <row r="34" spans="1:18">
      <c r="A34" s="1" t="s">
        <v>151</v>
      </c>
      <c r="B34" s="2" t="s">
        <v>85</v>
      </c>
      <c r="C34" s="2" t="s">
        <v>44</v>
      </c>
      <c r="D34" s="2" t="s">
        <v>65</v>
      </c>
      <c r="E34" s="2" t="s">
        <v>7</v>
      </c>
      <c r="F34" s="2" t="s">
        <v>74</v>
      </c>
      <c r="G34" s="2" t="s">
        <v>152</v>
      </c>
      <c r="H34" s="2" t="s">
        <v>153</v>
      </c>
      <c r="I34" s="2">
        <v>46287</v>
      </c>
      <c r="J34" s="2">
        <v>2879</v>
      </c>
      <c r="K34" s="2" t="s">
        <v>104</v>
      </c>
      <c r="L34" s="2">
        <f t="shared" ref="L34:L65" si="5">SUM(I34,J34,K34)</f>
        <v>49166</v>
      </c>
      <c r="M34" s="2" t="s">
        <v>49</v>
      </c>
      <c r="N34" s="5" t="s">
        <v>4</v>
      </c>
      <c r="O34" s="21" t="str">
        <f t="shared" si="1"/>
        <v>DISCHARGED</v>
      </c>
      <c r="P34" s="21">
        <f t="shared" ca="1" si="2"/>
        <v>-73</v>
      </c>
      <c r="Q34" s="21" t="str">
        <f t="shared" ca="1" si="3"/>
        <v>1-30 Days overdue</v>
      </c>
      <c r="R34" s="21">
        <f t="shared" ca="1" si="4"/>
        <v>212</v>
      </c>
    </row>
    <row r="35" spans="1:18">
      <c r="A35" s="3" t="s">
        <v>154</v>
      </c>
      <c r="B35" s="4" t="s">
        <v>112</v>
      </c>
      <c r="C35" s="4"/>
      <c r="D35" s="4" t="s">
        <v>65</v>
      </c>
      <c r="E35" s="4"/>
      <c r="F35" s="4" t="s">
        <v>74</v>
      </c>
      <c r="G35" s="4" t="s">
        <v>155</v>
      </c>
      <c r="H35" s="4" t="s">
        <v>156</v>
      </c>
      <c r="I35" s="4">
        <v>29465</v>
      </c>
      <c r="J35" s="4">
        <v>8693</v>
      </c>
      <c r="K35" s="4">
        <v>2816</v>
      </c>
      <c r="L35" s="2">
        <f t="shared" si="5"/>
        <v>40974</v>
      </c>
      <c r="M35" s="4" t="s">
        <v>49</v>
      </c>
      <c r="N35" s="6" t="s">
        <v>3</v>
      </c>
      <c r="O35" s="21" t="str">
        <f t="shared" si="1"/>
        <v>DISCHARGED</v>
      </c>
      <c r="P35" s="21">
        <f t="shared" ca="1" si="2"/>
        <v>0</v>
      </c>
      <c r="Q35" s="21" t="str">
        <f t="shared" ca="1" si="3"/>
        <v>Fully_Paid</v>
      </c>
      <c r="R35" s="21" t="e">
        <f t="shared" ca="1" si="4"/>
        <v>#VALUE!</v>
      </c>
    </row>
    <row r="36" spans="1:18">
      <c r="A36" s="1"/>
      <c r="B36" s="2" t="s">
        <v>157</v>
      </c>
      <c r="C36" s="2"/>
      <c r="D36" s="2" t="s">
        <v>45</v>
      </c>
      <c r="E36" s="2" t="s">
        <v>9</v>
      </c>
      <c r="F36" s="2" t="s">
        <v>70</v>
      </c>
      <c r="G36" s="12">
        <v>45778</v>
      </c>
      <c r="H36" s="2" t="s">
        <v>158</v>
      </c>
      <c r="I36" s="2">
        <v>12240</v>
      </c>
      <c r="J36" s="2" t="s">
        <v>104</v>
      </c>
      <c r="K36" s="2">
        <v>2933</v>
      </c>
      <c r="L36" s="2">
        <f t="shared" si="5"/>
        <v>15173</v>
      </c>
      <c r="M36" s="2" t="s">
        <v>54</v>
      </c>
      <c r="N36" s="5" t="s">
        <v>4</v>
      </c>
      <c r="O36" s="21" t="str">
        <f t="shared" si="1"/>
        <v>DISCHARGED</v>
      </c>
      <c r="P36" s="21">
        <f t="shared" ca="1" si="2"/>
        <v>499</v>
      </c>
      <c r="Q36" s="21" t="str">
        <f t="shared" ca="1" si="3"/>
        <v>61+ days overdue</v>
      </c>
      <c r="R36" s="21">
        <f t="shared" ca="1" si="4"/>
        <v>-115</v>
      </c>
    </row>
    <row r="37" spans="1:18">
      <c r="A37" s="3" t="s">
        <v>159</v>
      </c>
      <c r="B37" s="4" t="s">
        <v>112</v>
      </c>
      <c r="C37" s="4" t="s">
        <v>44</v>
      </c>
      <c r="D37" s="4" t="s">
        <v>45</v>
      </c>
      <c r="E37" s="4" t="s">
        <v>8</v>
      </c>
      <c r="F37" s="4" t="s">
        <v>46</v>
      </c>
      <c r="G37" s="4" t="s">
        <v>160</v>
      </c>
      <c r="H37" s="4" t="s">
        <v>161</v>
      </c>
      <c r="I37" s="4">
        <v>35285</v>
      </c>
      <c r="J37" s="4">
        <v>8984</v>
      </c>
      <c r="K37" s="4">
        <v>3397</v>
      </c>
      <c r="L37" s="2">
        <f t="shared" si="5"/>
        <v>47666</v>
      </c>
      <c r="M37" s="4" t="s">
        <v>49</v>
      </c>
      <c r="N37" s="6" t="s">
        <v>4</v>
      </c>
      <c r="O37" s="21" t="str">
        <f t="shared" si="1"/>
        <v>DISCHARGED</v>
      </c>
      <c r="P37" s="21">
        <f t="shared" ca="1" si="2"/>
        <v>472</v>
      </c>
      <c r="Q37" s="21" t="str">
        <f t="shared" ca="1" si="3"/>
        <v>61+ days overdue</v>
      </c>
      <c r="R37" s="21" t="e">
        <f t="shared" ca="1" si="4"/>
        <v>#VALUE!</v>
      </c>
    </row>
    <row r="38" spans="1:18">
      <c r="A38" s="1" t="s">
        <v>162</v>
      </c>
      <c r="B38" s="2" t="s">
        <v>157</v>
      </c>
      <c r="C38" s="2"/>
      <c r="D38" s="2"/>
      <c r="E38" s="2" t="s">
        <v>6</v>
      </c>
      <c r="F38" s="2" t="s">
        <v>46</v>
      </c>
      <c r="G38" s="2" t="s">
        <v>163</v>
      </c>
      <c r="H38" s="2" t="s">
        <v>164</v>
      </c>
      <c r="I38" s="2">
        <v>16094</v>
      </c>
      <c r="J38" s="2">
        <v>1810</v>
      </c>
      <c r="K38" s="2">
        <v>11085</v>
      </c>
      <c r="L38" s="2">
        <f t="shared" si="5"/>
        <v>28989</v>
      </c>
      <c r="M38" s="2" t="s">
        <v>54</v>
      </c>
      <c r="N38" s="5" t="s">
        <v>3</v>
      </c>
      <c r="O38" s="21" t="str">
        <f t="shared" si="1"/>
        <v>DISCHARGED</v>
      </c>
      <c r="P38" s="21">
        <f t="shared" ca="1" si="2"/>
        <v>0</v>
      </c>
      <c r="Q38" s="21" t="str">
        <f t="shared" ca="1" si="3"/>
        <v>Fully_Paid</v>
      </c>
      <c r="R38" s="21">
        <f t="shared" ca="1" si="4"/>
        <v>183</v>
      </c>
    </row>
    <row r="39" spans="1:18">
      <c r="A39" s="3" t="s">
        <v>165</v>
      </c>
      <c r="B39" s="4" t="s">
        <v>166</v>
      </c>
      <c r="C39" s="4" t="s">
        <v>44</v>
      </c>
      <c r="D39" s="4" t="s">
        <v>45</v>
      </c>
      <c r="E39" s="4" t="s">
        <v>10</v>
      </c>
      <c r="F39" s="4" t="s">
        <v>74</v>
      </c>
      <c r="G39" s="4" t="s">
        <v>163</v>
      </c>
      <c r="H39" s="4" t="s">
        <v>167</v>
      </c>
      <c r="I39" s="4">
        <v>45451</v>
      </c>
      <c r="J39" s="4">
        <v>2450</v>
      </c>
      <c r="K39" s="4">
        <v>6958</v>
      </c>
      <c r="L39" s="2">
        <f t="shared" si="5"/>
        <v>54859</v>
      </c>
      <c r="M39" s="4" t="s">
        <v>49</v>
      </c>
      <c r="N39" s="6" t="s">
        <v>4</v>
      </c>
      <c r="O39" s="21" t="str">
        <f t="shared" si="1"/>
        <v>DISCHARGED</v>
      </c>
      <c r="P39" s="21">
        <f t="shared" ca="1" si="2"/>
        <v>194</v>
      </c>
      <c r="Q39" s="21" t="str">
        <f t="shared" ca="1" si="3"/>
        <v>61+ days overdue</v>
      </c>
      <c r="R39" s="21">
        <f t="shared" ca="1" si="4"/>
        <v>214</v>
      </c>
    </row>
    <row r="40" spans="1:18">
      <c r="A40" s="1" t="s">
        <v>168</v>
      </c>
      <c r="B40" s="2" t="s">
        <v>112</v>
      </c>
      <c r="C40" s="2"/>
      <c r="D40" s="2" t="s">
        <v>45</v>
      </c>
      <c r="E40" s="2" t="s">
        <v>10</v>
      </c>
      <c r="F40" s="2" t="s">
        <v>70</v>
      </c>
      <c r="G40" s="2" t="s">
        <v>169</v>
      </c>
      <c r="H40" s="2" t="s">
        <v>97</v>
      </c>
      <c r="I40" s="2" t="s">
        <v>104</v>
      </c>
      <c r="J40" s="2">
        <v>3528</v>
      </c>
      <c r="K40" s="2">
        <v>3622</v>
      </c>
      <c r="L40" s="2">
        <f t="shared" si="5"/>
        <v>7150</v>
      </c>
      <c r="M40" s="2" t="s">
        <v>49</v>
      </c>
      <c r="N40" s="5" t="s">
        <v>4</v>
      </c>
      <c r="O40" s="21" t="str">
        <f t="shared" si="1"/>
        <v>DISCHARGED</v>
      </c>
      <c r="P40" s="21" t="e">
        <f t="shared" ca="1" si="2"/>
        <v>#VALUE!</v>
      </c>
      <c r="Q40" s="21" t="e">
        <f t="shared" ca="1" si="3"/>
        <v>#VALUE!</v>
      </c>
      <c r="R40" s="21" t="e">
        <f t="shared" ca="1" si="4"/>
        <v>#VALUE!</v>
      </c>
    </row>
    <row r="41" spans="1:18">
      <c r="A41" s="3" t="s">
        <v>170</v>
      </c>
      <c r="B41" s="4"/>
      <c r="C41" s="4" t="s">
        <v>44</v>
      </c>
      <c r="D41" s="4" t="s">
        <v>45</v>
      </c>
      <c r="E41" s="4" t="s">
        <v>6</v>
      </c>
      <c r="F41" s="4" t="s">
        <v>74</v>
      </c>
      <c r="G41" s="4" t="s">
        <v>171</v>
      </c>
      <c r="H41" s="4" t="s">
        <v>172</v>
      </c>
      <c r="I41" s="4">
        <v>5018</v>
      </c>
      <c r="J41" s="4">
        <v>1970</v>
      </c>
      <c r="K41" s="4">
        <v>7353</v>
      </c>
      <c r="L41" s="2">
        <f t="shared" si="5"/>
        <v>14341</v>
      </c>
      <c r="M41" s="4" t="s">
        <v>54</v>
      </c>
      <c r="N41" s="6" t="s">
        <v>3</v>
      </c>
      <c r="O41" s="21" t="str">
        <f t="shared" si="1"/>
        <v>DISCHARGED</v>
      </c>
      <c r="P41" s="21">
        <f t="shared" ca="1" si="2"/>
        <v>0</v>
      </c>
      <c r="Q41" s="21" t="str">
        <f t="shared" ca="1" si="3"/>
        <v>Fully_Paid</v>
      </c>
      <c r="R41" s="21" t="e">
        <f t="shared" ca="1" si="4"/>
        <v>#VALUE!</v>
      </c>
    </row>
    <row r="42" spans="1:18">
      <c r="A42" s="1" t="s">
        <v>173</v>
      </c>
      <c r="B42" s="2" t="s">
        <v>157</v>
      </c>
      <c r="C42" s="2">
        <v>6</v>
      </c>
      <c r="D42" s="2" t="s">
        <v>65</v>
      </c>
      <c r="E42" s="2" t="s">
        <v>10</v>
      </c>
      <c r="F42" s="2"/>
      <c r="G42" s="2" t="s">
        <v>174</v>
      </c>
      <c r="H42" s="2" t="s">
        <v>175</v>
      </c>
      <c r="I42" s="2">
        <v>30774</v>
      </c>
      <c r="J42" s="2">
        <v>6522</v>
      </c>
      <c r="K42" s="2">
        <v>9210</v>
      </c>
      <c r="L42" s="2">
        <f t="shared" si="5"/>
        <v>46506</v>
      </c>
      <c r="M42" s="2" t="s">
        <v>49</v>
      </c>
      <c r="N42" s="5"/>
      <c r="O42" s="21" t="str">
        <f t="shared" si="1"/>
        <v>DISCHARGED</v>
      </c>
      <c r="P42" s="21">
        <f t="shared" ca="1" si="2"/>
        <v>0</v>
      </c>
      <c r="Q42" s="21" t="str">
        <f t="shared" ca="1" si="3"/>
        <v>Fully_Paid</v>
      </c>
      <c r="R42" s="21">
        <f t="shared" ca="1" si="4"/>
        <v>273</v>
      </c>
    </row>
    <row r="43" spans="1:18">
      <c r="A43" s="3" t="s">
        <v>176</v>
      </c>
      <c r="B43" s="4" t="s">
        <v>50</v>
      </c>
      <c r="C43" s="4">
        <v>13</v>
      </c>
      <c r="D43" s="4" t="s">
        <v>45</v>
      </c>
      <c r="E43" s="4" t="s">
        <v>7</v>
      </c>
      <c r="F43" s="4" t="s">
        <v>51</v>
      </c>
      <c r="G43" s="4" t="s">
        <v>177</v>
      </c>
      <c r="H43" s="4" t="s">
        <v>93</v>
      </c>
      <c r="I43" s="4">
        <v>11457</v>
      </c>
      <c r="J43" s="4">
        <v>8077</v>
      </c>
      <c r="K43" s="4">
        <v>10004</v>
      </c>
      <c r="L43" s="2">
        <f t="shared" si="5"/>
        <v>29538</v>
      </c>
      <c r="M43" s="4" t="s">
        <v>49</v>
      </c>
      <c r="N43" s="6" t="s">
        <v>4</v>
      </c>
      <c r="O43" s="21" t="str">
        <f t="shared" si="1"/>
        <v>DISCHARGED</v>
      </c>
      <c r="P43" s="21">
        <f t="shared" ca="1" si="2"/>
        <v>467</v>
      </c>
      <c r="Q43" s="21" t="str">
        <f t="shared" ca="1" si="3"/>
        <v>61+ days overdue</v>
      </c>
      <c r="R43" s="21" t="e">
        <f t="shared" ca="1" si="4"/>
        <v>#VALUE!</v>
      </c>
    </row>
    <row r="44" spans="1:18">
      <c r="A44" s="1" t="s">
        <v>178</v>
      </c>
      <c r="B44" s="2" t="s">
        <v>112</v>
      </c>
      <c r="C44" s="2"/>
      <c r="D44" s="2" t="s">
        <v>65</v>
      </c>
      <c r="E44" s="2" t="s">
        <v>7</v>
      </c>
      <c r="F44" s="2" t="s">
        <v>51</v>
      </c>
      <c r="G44" s="2" t="s">
        <v>179</v>
      </c>
      <c r="H44" s="2" t="s">
        <v>180</v>
      </c>
      <c r="I44" s="2">
        <v>29374</v>
      </c>
      <c r="J44" s="2">
        <v>1807</v>
      </c>
      <c r="K44" s="2">
        <v>10746</v>
      </c>
      <c r="L44" s="2">
        <f t="shared" si="5"/>
        <v>41927</v>
      </c>
      <c r="M44" s="2" t="s">
        <v>54</v>
      </c>
      <c r="N44" s="5" t="s">
        <v>3</v>
      </c>
      <c r="O44" s="21" t="str">
        <f t="shared" si="1"/>
        <v>DISCHARGED</v>
      </c>
      <c r="P44" s="21">
        <f t="shared" ca="1" si="2"/>
        <v>0</v>
      </c>
      <c r="Q44" s="21" t="str">
        <f t="shared" ca="1" si="3"/>
        <v>Fully_Paid</v>
      </c>
      <c r="R44" s="21" t="e">
        <f t="shared" ca="1" si="4"/>
        <v>#VALUE!</v>
      </c>
    </row>
    <row r="45" spans="1:18">
      <c r="A45" s="3" t="s">
        <v>181</v>
      </c>
      <c r="B45" s="4" t="s">
        <v>81</v>
      </c>
      <c r="C45" s="4"/>
      <c r="D45" s="4" t="s">
        <v>65</v>
      </c>
      <c r="E45" s="4" t="s">
        <v>6</v>
      </c>
      <c r="F45" s="4" t="s">
        <v>70</v>
      </c>
      <c r="G45" s="4" t="s">
        <v>182</v>
      </c>
      <c r="H45" s="4" t="s">
        <v>183</v>
      </c>
      <c r="I45" s="4">
        <v>26539</v>
      </c>
      <c r="J45" s="4">
        <v>7707</v>
      </c>
      <c r="K45" s="4">
        <v>11577</v>
      </c>
      <c r="L45" s="2">
        <f t="shared" si="5"/>
        <v>45823</v>
      </c>
      <c r="M45" s="4"/>
      <c r="N45" s="6" t="s">
        <v>3</v>
      </c>
      <c r="O45" s="21" t="str">
        <f t="shared" si="1"/>
        <v>DISCHARGED</v>
      </c>
      <c r="P45" s="21">
        <f t="shared" ca="1" si="2"/>
        <v>0</v>
      </c>
      <c r="Q45" s="21" t="str">
        <f t="shared" ca="1" si="3"/>
        <v>Fully_Paid</v>
      </c>
      <c r="R45" s="21" t="e">
        <f t="shared" ca="1" si="4"/>
        <v>#VALUE!</v>
      </c>
    </row>
    <row r="46" spans="1:18">
      <c r="A46" s="1"/>
      <c r="B46" s="2" t="s">
        <v>184</v>
      </c>
      <c r="C46" s="2">
        <v>1</v>
      </c>
      <c r="D46" s="2" t="s">
        <v>65</v>
      </c>
      <c r="E46" s="2" t="s">
        <v>9</v>
      </c>
      <c r="F46" s="2" t="s">
        <v>70</v>
      </c>
      <c r="G46" s="2" t="s">
        <v>182</v>
      </c>
      <c r="H46" s="2" t="s">
        <v>185</v>
      </c>
      <c r="I46" s="2">
        <v>18167</v>
      </c>
      <c r="J46" s="2">
        <v>4561</v>
      </c>
      <c r="K46" s="2">
        <v>2767</v>
      </c>
      <c r="L46" s="2">
        <f t="shared" si="5"/>
        <v>25495</v>
      </c>
      <c r="M46" s="2" t="s">
        <v>54</v>
      </c>
      <c r="N46" s="5" t="s">
        <v>3</v>
      </c>
      <c r="O46" s="21" t="str">
        <f t="shared" si="1"/>
        <v>DISCHARGED</v>
      </c>
      <c r="P46" s="21">
        <f t="shared" ca="1" si="2"/>
        <v>0</v>
      </c>
      <c r="Q46" s="21" t="str">
        <f t="shared" ca="1" si="3"/>
        <v>Fully_Paid</v>
      </c>
      <c r="R46" s="21" t="e">
        <f t="shared" ca="1" si="4"/>
        <v>#VALUE!</v>
      </c>
    </row>
    <row r="47" spans="1:18">
      <c r="A47" s="3" t="s">
        <v>186</v>
      </c>
      <c r="B47" s="4" t="s">
        <v>78</v>
      </c>
      <c r="C47" s="4" t="s">
        <v>44</v>
      </c>
      <c r="D47" s="4" t="s">
        <v>65</v>
      </c>
      <c r="E47" s="4" t="s">
        <v>7</v>
      </c>
      <c r="F47" s="4" t="s">
        <v>74</v>
      </c>
      <c r="G47" s="4" t="s">
        <v>187</v>
      </c>
      <c r="H47" s="4" t="s">
        <v>188</v>
      </c>
      <c r="I47" s="4">
        <v>39517</v>
      </c>
      <c r="J47" s="4">
        <v>5863</v>
      </c>
      <c r="K47" s="4">
        <v>4855</v>
      </c>
      <c r="L47" s="2">
        <f t="shared" si="5"/>
        <v>50235</v>
      </c>
      <c r="M47" s="4" t="s">
        <v>54</v>
      </c>
      <c r="N47" s="6" t="s">
        <v>3</v>
      </c>
      <c r="O47" s="21" t="str">
        <f t="shared" si="1"/>
        <v>DISCHARGED</v>
      </c>
      <c r="P47" s="21">
        <f t="shared" ca="1" si="2"/>
        <v>0</v>
      </c>
      <c r="Q47" s="21" t="str">
        <f t="shared" ca="1" si="3"/>
        <v>Fully_Paid</v>
      </c>
      <c r="R47" s="21" t="e">
        <f t="shared" ca="1" si="4"/>
        <v>#VALUE!</v>
      </c>
    </row>
    <row r="48" spans="1:18">
      <c r="A48" s="1" t="s">
        <v>189</v>
      </c>
      <c r="B48" s="2" t="s">
        <v>85</v>
      </c>
      <c r="C48" s="2">
        <v>13</v>
      </c>
      <c r="D48" s="2" t="s">
        <v>65</v>
      </c>
      <c r="E48" s="2" t="s">
        <v>8</v>
      </c>
      <c r="F48" s="2" t="s">
        <v>46</v>
      </c>
      <c r="G48" s="2" t="s">
        <v>190</v>
      </c>
      <c r="H48" s="2" t="s">
        <v>191</v>
      </c>
      <c r="I48" s="2">
        <v>11032</v>
      </c>
      <c r="J48" s="2">
        <v>6246</v>
      </c>
      <c r="K48" s="2">
        <v>4326</v>
      </c>
      <c r="L48" s="2">
        <f t="shared" si="5"/>
        <v>21604</v>
      </c>
      <c r="M48" s="2" t="s">
        <v>54</v>
      </c>
      <c r="N48" s="5" t="s">
        <v>4</v>
      </c>
      <c r="O48" s="21" t="str">
        <f t="shared" si="1"/>
        <v>DISCHARGED</v>
      </c>
      <c r="P48" s="21">
        <f t="shared" ca="1" si="2"/>
        <v>436</v>
      </c>
      <c r="Q48" s="21" t="str">
        <f t="shared" ca="1" si="3"/>
        <v>61+ days overdue</v>
      </c>
      <c r="R48" s="21" t="e">
        <f t="shared" ca="1" si="4"/>
        <v>#VALUE!</v>
      </c>
    </row>
    <row r="49" spans="1:18">
      <c r="A49" s="3" t="s">
        <v>192</v>
      </c>
      <c r="B49" s="4" t="s">
        <v>184</v>
      </c>
      <c r="C49" s="4">
        <v>28</v>
      </c>
      <c r="D49" s="4" t="s">
        <v>45</v>
      </c>
      <c r="E49" s="4" t="s">
        <v>9</v>
      </c>
      <c r="F49" s="4" t="s">
        <v>56</v>
      </c>
      <c r="G49" s="4" t="s">
        <v>193</v>
      </c>
      <c r="H49" s="4" t="s">
        <v>194</v>
      </c>
      <c r="I49" s="4">
        <v>35918</v>
      </c>
      <c r="J49" s="4">
        <v>1819</v>
      </c>
      <c r="K49" s="4">
        <v>4901</v>
      </c>
      <c r="L49" s="2">
        <f t="shared" si="5"/>
        <v>42638</v>
      </c>
      <c r="M49" s="4" t="s">
        <v>54</v>
      </c>
      <c r="N49" s="6" t="s">
        <v>3</v>
      </c>
      <c r="O49" s="21" t="str">
        <f t="shared" si="1"/>
        <v>DISCHARGED</v>
      </c>
      <c r="P49" s="21">
        <f t="shared" ca="1" si="2"/>
        <v>0</v>
      </c>
      <c r="Q49" s="21" t="str">
        <f t="shared" ca="1" si="3"/>
        <v>Fully_Paid</v>
      </c>
      <c r="R49" s="21" t="e">
        <f t="shared" ca="1" si="4"/>
        <v>#VALUE!</v>
      </c>
    </row>
    <row r="50" spans="1:18">
      <c r="A50" s="1" t="s">
        <v>195</v>
      </c>
      <c r="B50" s="2"/>
      <c r="C50" s="2" t="s">
        <v>44</v>
      </c>
      <c r="D50" s="2" t="s">
        <v>45</v>
      </c>
      <c r="E50" s="2" t="s">
        <v>8</v>
      </c>
      <c r="F50" s="2" t="s">
        <v>56</v>
      </c>
      <c r="G50" s="12">
        <v>45794</v>
      </c>
      <c r="H50" s="2" t="s">
        <v>196</v>
      </c>
      <c r="I50" s="2">
        <v>5748</v>
      </c>
      <c r="J50" s="2">
        <v>6585</v>
      </c>
      <c r="K50" s="2">
        <v>14404</v>
      </c>
      <c r="L50" s="2">
        <f t="shared" si="5"/>
        <v>26737</v>
      </c>
      <c r="M50" s="2" t="s">
        <v>54</v>
      </c>
      <c r="N50" s="5" t="s">
        <v>4</v>
      </c>
      <c r="O50" s="21" t="str">
        <f t="shared" si="1"/>
        <v>DISCHARGED</v>
      </c>
      <c r="P50" s="21" t="e">
        <f t="shared" ca="1" si="2"/>
        <v>#VALUE!</v>
      </c>
      <c r="Q50" s="21" t="e">
        <f t="shared" ca="1" si="3"/>
        <v>#VALUE!</v>
      </c>
      <c r="R50" s="21" t="e">
        <f t="shared" ca="1" si="4"/>
        <v>#VALUE!</v>
      </c>
    </row>
    <row r="51" spans="1:18">
      <c r="A51" s="3" t="s">
        <v>197</v>
      </c>
      <c r="B51" s="4" t="s">
        <v>64</v>
      </c>
      <c r="C51" s="4">
        <v>51</v>
      </c>
      <c r="D51" s="4" t="s">
        <v>65</v>
      </c>
      <c r="E51" s="4" t="s">
        <v>10</v>
      </c>
      <c r="F51" s="4" t="s">
        <v>56</v>
      </c>
      <c r="G51" s="4" t="s">
        <v>142</v>
      </c>
      <c r="H51" s="4" t="s">
        <v>193</v>
      </c>
      <c r="I51" s="4">
        <v>35941</v>
      </c>
      <c r="J51" s="4">
        <v>1461</v>
      </c>
      <c r="K51" s="4">
        <v>2134</v>
      </c>
      <c r="L51" s="2">
        <f t="shared" si="5"/>
        <v>39536</v>
      </c>
      <c r="M51" s="4" t="s">
        <v>54</v>
      </c>
      <c r="N51" s="6" t="s">
        <v>4</v>
      </c>
      <c r="O51" s="21" t="str">
        <f t="shared" si="1"/>
        <v>DISCHARGED</v>
      </c>
      <c r="P51" s="21" t="e">
        <f t="shared" ca="1" si="2"/>
        <v>#VALUE!</v>
      </c>
      <c r="Q51" s="21" t="e">
        <f t="shared" ca="1" si="3"/>
        <v>#VALUE!</v>
      </c>
      <c r="R51" s="21" t="e">
        <f t="shared" ca="1" si="4"/>
        <v>#VALUE!</v>
      </c>
    </row>
    <row r="52" spans="1:18">
      <c r="A52" s="1"/>
      <c r="B52" s="2" t="s">
        <v>112</v>
      </c>
      <c r="C52" s="2" t="s">
        <v>44</v>
      </c>
      <c r="D52" s="2" t="s">
        <v>45</v>
      </c>
      <c r="E52" s="2" t="s">
        <v>10</v>
      </c>
      <c r="F52" s="2" t="s">
        <v>56</v>
      </c>
      <c r="G52" s="2" t="s">
        <v>198</v>
      </c>
      <c r="H52" s="2" t="s">
        <v>199</v>
      </c>
      <c r="I52" s="2">
        <v>6878</v>
      </c>
      <c r="J52" s="2">
        <v>7071</v>
      </c>
      <c r="K52" s="2">
        <v>7517</v>
      </c>
      <c r="L52" s="2">
        <f t="shared" si="5"/>
        <v>21466</v>
      </c>
      <c r="M52" s="2" t="s">
        <v>49</v>
      </c>
      <c r="N52" s="5" t="s">
        <v>3</v>
      </c>
      <c r="O52" s="21" t="str">
        <f t="shared" si="1"/>
        <v>DISCHARGED</v>
      </c>
      <c r="P52" s="21">
        <f t="shared" ca="1" si="2"/>
        <v>0</v>
      </c>
      <c r="Q52" s="21" t="str">
        <f t="shared" ca="1" si="3"/>
        <v>Fully_Paid</v>
      </c>
      <c r="R52" s="21" t="e">
        <f t="shared" ca="1" si="4"/>
        <v>#VALUE!</v>
      </c>
    </row>
    <row r="53" spans="1:18">
      <c r="A53" s="3" t="s">
        <v>200</v>
      </c>
      <c r="B53" s="4" t="s">
        <v>64</v>
      </c>
      <c r="C53" s="4">
        <v>15</v>
      </c>
      <c r="D53" s="4" t="s">
        <v>45</v>
      </c>
      <c r="E53" s="4" t="s">
        <v>6</v>
      </c>
      <c r="F53" s="4" t="s">
        <v>46</v>
      </c>
      <c r="G53" s="4" t="s">
        <v>201</v>
      </c>
      <c r="H53" s="4"/>
      <c r="I53" s="4">
        <v>26366</v>
      </c>
      <c r="J53" s="4">
        <v>3994</v>
      </c>
      <c r="K53" s="4">
        <v>4734</v>
      </c>
      <c r="L53" s="2">
        <f t="shared" si="5"/>
        <v>35094</v>
      </c>
      <c r="M53" s="4" t="s">
        <v>49</v>
      </c>
      <c r="N53" s="6" t="s">
        <v>4</v>
      </c>
      <c r="O53" s="21" t="str">
        <f t="shared" si="1"/>
        <v>CURRENTLY ADMITTED</v>
      </c>
      <c r="P53" s="21">
        <f t="shared" ca="1" si="2"/>
        <v>377</v>
      </c>
      <c r="Q53" s="21" t="str">
        <f t="shared" ca="1" si="3"/>
        <v>61+ days overdue</v>
      </c>
      <c r="R53" s="21">
        <f t="shared" ca="1" si="4"/>
        <v>377</v>
      </c>
    </row>
    <row r="54" spans="1:18">
      <c r="A54" s="1" t="s">
        <v>202</v>
      </c>
      <c r="B54" s="2"/>
      <c r="C54" s="2" t="s">
        <v>44</v>
      </c>
      <c r="D54" s="2" t="s">
        <v>45</v>
      </c>
      <c r="E54" s="2"/>
      <c r="F54" s="2"/>
      <c r="G54" s="2" t="s">
        <v>132</v>
      </c>
      <c r="H54" s="2" t="s">
        <v>203</v>
      </c>
      <c r="I54" s="2">
        <v>39810</v>
      </c>
      <c r="J54" s="2">
        <v>4943</v>
      </c>
      <c r="K54" s="2">
        <v>10007</v>
      </c>
      <c r="L54" s="2">
        <f t="shared" si="5"/>
        <v>54760</v>
      </c>
      <c r="M54" s="2" t="s">
        <v>54</v>
      </c>
      <c r="N54" s="5" t="s">
        <v>4</v>
      </c>
      <c r="O54" s="21" t="str">
        <f t="shared" si="1"/>
        <v>DISCHARGED</v>
      </c>
      <c r="P54" s="21" t="e">
        <f t="shared" ca="1" si="2"/>
        <v>#VALUE!</v>
      </c>
      <c r="Q54" s="21" t="e">
        <f t="shared" ca="1" si="3"/>
        <v>#VALUE!</v>
      </c>
      <c r="R54" s="21" t="e">
        <f t="shared" ca="1" si="4"/>
        <v>#VALUE!</v>
      </c>
    </row>
    <row r="55" spans="1:18">
      <c r="A55" s="3" t="s">
        <v>204</v>
      </c>
      <c r="B55" s="4" t="s">
        <v>85</v>
      </c>
      <c r="C55" s="4"/>
      <c r="D55" s="4" t="s">
        <v>45</v>
      </c>
      <c r="E55" s="4" t="s">
        <v>7</v>
      </c>
      <c r="F55" s="4" t="s">
        <v>46</v>
      </c>
      <c r="G55" s="4" t="s">
        <v>205</v>
      </c>
      <c r="H55" s="4" t="s">
        <v>206</v>
      </c>
      <c r="I55" s="4">
        <v>10977</v>
      </c>
      <c r="J55" s="4">
        <v>4612</v>
      </c>
      <c r="K55" s="4">
        <v>5728</v>
      </c>
      <c r="L55" s="2">
        <f t="shared" si="5"/>
        <v>21317</v>
      </c>
      <c r="M55" s="4" t="s">
        <v>49</v>
      </c>
      <c r="N55" s="6" t="s">
        <v>4</v>
      </c>
      <c r="O55" s="21" t="str">
        <f t="shared" si="1"/>
        <v>DISCHARGED</v>
      </c>
      <c r="P55" s="21" t="e">
        <f t="shared" ca="1" si="2"/>
        <v>#VALUE!</v>
      </c>
      <c r="Q55" s="21" t="e">
        <f t="shared" ca="1" si="3"/>
        <v>#VALUE!</v>
      </c>
      <c r="R55" s="21" t="e">
        <f t="shared" ca="1" si="4"/>
        <v>#VALUE!</v>
      </c>
    </row>
    <row r="56" spans="1:18">
      <c r="A56" s="1"/>
      <c r="B56" s="2" t="s">
        <v>157</v>
      </c>
      <c r="C56" s="2">
        <v>72</v>
      </c>
      <c r="D56" s="2" t="s">
        <v>65</v>
      </c>
      <c r="E56" s="2" t="s">
        <v>7</v>
      </c>
      <c r="F56" s="2"/>
      <c r="G56" s="2" t="s">
        <v>207</v>
      </c>
      <c r="H56" s="2" t="s">
        <v>125</v>
      </c>
      <c r="I56" s="2">
        <v>25865</v>
      </c>
      <c r="J56" s="2">
        <v>2787</v>
      </c>
      <c r="K56" s="2">
        <v>8817</v>
      </c>
      <c r="L56" s="2">
        <f t="shared" si="5"/>
        <v>37469</v>
      </c>
      <c r="M56" s="2" t="s">
        <v>54</v>
      </c>
      <c r="N56" s="5" t="s">
        <v>4</v>
      </c>
      <c r="O56" s="21" t="str">
        <f t="shared" si="1"/>
        <v>DISCHARGED</v>
      </c>
      <c r="P56" s="21">
        <f t="shared" ca="1" si="2"/>
        <v>168</v>
      </c>
      <c r="Q56" s="21" t="str">
        <f t="shared" ca="1" si="3"/>
        <v>61+ days overdue</v>
      </c>
      <c r="R56" s="21">
        <f t="shared" ca="1" si="4"/>
        <v>30</v>
      </c>
    </row>
    <row r="57" spans="1:18">
      <c r="A57" s="3" t="s">
        <v>208</v>
      </c>
      <c r="B57" s="4" t="s">
        <v>50</v>
      </c>
      <c r="C57" s="4" t="s">
        <v>44</v>
      </c>
      <c r="D57" s="4" t="s">
        <v>45</v>
      </c>
      <c r="E57" s="4" t="s">
        <v>10</v>
      </c>
      <c r="F57" s="4" t="s">
        <v>51</v>
      </c>
      <c r="G57" s="4" t="s">
        <v>209</v>
      </c>
      <c r="H57" s="4" t="s">
        <v>210</v>
      </c>
      <c r="I57" s="4"/>
      <c r="J57" s="4">
        <v>4146</v>
      </c>
      <c r="K57" s="4">
        <v>5232</v>
      </c>
      <c r="L57" s="2">
        <f t="shared" si="5"/>
        <v>9378</v>
      </c>
      <c r="M57" s="4" t="s">
        <v>49</v>
      </c>
      <c r="N57" s="6" t="s">
        <v>3</v>
      </c>
      <c r="O57" s="21" t="str">
        <f t="shared" si="1"/>
        <v>DISCHARGED</v>
      </c>
      <c r="P57" s="21">
        <f t="shared" ca="1" si="2"/>
        <v>0</v>
      </c>
      <c r="Q57" s="21" t="str">
        <f t="shared" ca="1" si="3"/>
        <v>Fully_Paid</v>
      </c>
      <c r="R57" s="21" t="e">
        <f t="shared" ca="1" si="4"/>
        <v>#VALUE!</v>
      </c>
    </row>
    <row r="58" spans="1:18">
      <c r="A58" s="1" t="s">
        <v>211</v>
      </c>
      <c r="B58" s="2" t="s">
        <v>60</v>
      </c>
      <c r="C58" s="2">
        <v>32</v>
      </c>
      <c r="D58" s="2" t="s">
        <v>65</v>
      </c>
      <c r="E58" s="2"/>
      <c r="F58" s="2" t="s">
        <v>74</v>
      </c>
      <c r="G58" s="2" t="s">
        <v>67</v>
      </c>
      <c r="H58" s="2"/>
      <c r="I58" s="2">
        <v>24020</v>
      </c>
      <c r="J58" s="2">
        <v>8200</v>
      </c>
      <c r="K58" s="2">
        <v>10604</v>
      </c>
      <c r="L58" s="2">
        <f t="shared" si="5"/>
        <v>42824</v>
      </c>
      <c r="M58" s="2" t="s">
        <v>49</v>
      </c>
      <c r="N58" s="5" t="s">
        <v>3</v>
      </c>
      <c r="O58" s="21" t="str">
        <f t="shared" si="1"/>
        <v>CURRENTLY ADMITTED</v>
      </c>
      <c r="P58" s="21">
        <f t="shared" ca="1" si="2"/>
        <v>0</v>
      </c>
      <c r="Q58" s="21" t="str">
        <f t="shared" ca="1" si="3"/>
        <v>Fully_Paid</v>
      </c>
      <c r="R58" s="21" t="e">
        <f t="shared" ca="1" si="4"/>
        <v>#VALUE!</v>
      </c>
    </row>
    <row r="59" spans="1:18">
      <c r="A59" s="3" t="s">
        <v>212</v>
      </c>
      <c r="B59" s="4" t="s">
        <v>157</v>
      </c>
      <c r="C59" s="4">
        <v>66</v>
      </c>
      <c r="D59" s="4" t="s">
        <v>65</v>
      </c>
      <c r="E59" s="4" t="s">
        <v>7</v>
      </c>
      <c r="F59" s="4"/>
      <c r="G59" s="4" t="s">
        <v>213</v>
      </c>
      <c r="H59" s="4" t="s">
        <v>214</v>
      </c>
      <c r="I59" s="4">
        <v>43651</v>
      </c>
      <c r="J59" s="4">
        <v>6436</v>
      </c>
      <c r="K59" s="4">
        <v>4626</v>
      </c>
      <c r="L59" s="2">
        <f t="shared" si="5"/>
        <v>54713</v>
      </c>
      <c r="M59" s="4" t="s">
        <v>54</v>
      </c>
      <c r="N59" s="6" t="s">
        <v>3</v>
      </c>
      <c r="O59" s="21" t="str">
        <f t="shared" si="1"/>
        <v>DISCHARGED</v>
      </c>
      <c r="P59" s="21">
        <f t="shared" ca="1" si="2"/>
        <v>0</v>
      </c>
      <c r="Q59" s="21" t="str">
        <f t="shared" ca="1" si="3"/>
        <v>Fully_Paid</v>
      </c>
      <c r="R59" s="21">
        <f t="shared" ca="1" si="4"/>
        <v>120</v>
      </c>
    </row>
    <row r="60" spans="1:18">
      <c r="A60" s="1" t="s">
        <v>215</v>
      </c>
      <c r="B60" s="2" t="s">
        <v>50</v>
      </c>
      <c r="C60" s="2">
        <v>35</v>
      </c>
      <c r="D60" s="2" t="s">
        <v>65</v>
      </c>
      <c r="E60" s="2" t="s">
        <v>10</v>
      </c>
      <c r="F60" s="2" t="s">
        <v>56</v>
      </c>
      <c r="G60" s="2" t="s">
        <v>216</v>
      </c>
      <c r="H60" s="2" t="s">
        <v>217</v>
      </c>
      <c r="I60" s="2">
        <v>18909</v>
      </c>
      <c r="J60" s="2">
        <v>9689</v>
      </c>
      <c r="K60" s="2">
        <v>9752</v>
      </c>
      <c r="L60" s="2">
        <f t="shared" si="5"/>
        <v>38350</v>
      </c>
      <c r="M60" s="2" t="s">
        <v>49</v>
      </c>
      <c r="N60" s="5" t="s">
        <v>3</v>
      </c>
      <c r="O60" s="21" t="str">
        <f t="shared" si="1"/>
        <v>DISCHARGED</v>
      </c>
      <c r="P60" s="21">
        <f t="shared" ca="1" si="2"/>
        <v>0</v>
      </c>
      <c r="Q60" s="21" t="str">
        <f t="shared" ca="1" si="3"/>
        <v>Fully_Paid</v>
      </c>
      <c r="R60" s="21" t="e">
        <f t="shared" ca="1" si="4"/>
        <v>#VALUE!</v>
      </c>
    </row>
    <row r="61" spans="1:18">
      <c r="A61" s="3" t="s">
        <v>218</v>
      </c>
      <c r="B61" s="4" t="s">
        <v>50</v>
      </c>
      <c r="C61" s="4"/>
      <c r="D61" s="4" t="s">
        <v>45</v>
      </c>
      <c r="E61" s="4" t="s">
        <v>8</v>
      </c>
      <c r="F61" s="4" t="s">
        <v>51</v>
      </c>
      <c r="G61" s="4" t="s">
        <v>188</v>
      </c>
      <c r="H61" s="4" t="s">
        <v>58</v>
      </c>
      <c r="I61" s="4">
        <v>30640</v>
      </c>
      <c r="J61" s="4">
        <v>2139</v>
      </c>
      <c r="K61" s="4">
        <v>4119</v>
      </c>
      <c r="L61" s="2">
        <f t="shared" si="5"/>
        <v>36898</v>
      </c>
      <c r="M61" s="4" t="s">
        <v>54</v>
      </c>
      <c r="N61" s="6" t="s">
        <v>3</v>
      </c>
      <c r="O61" s="21" t="str">
        <f t="shared" si="1"/>
        <v>DISCHARGED</v>
      </c>
      <c r="P61" s="21">
        <f t="shared" ca="1" si="2"/>
        <v>0</v>
      </c>
      <c r="Q61" s="21" t="str">
        <f t="shared" ca="1" si="3"/>
        <v>Fully_Paid</v>
      </c>
      <c r="R61" s="21" t="e">
        <f t="shared" ca="1" si="4"/>
        <v>#VALUE!</v>
      </c>
    </row>
    <row r="62" spans="1:18">
      <c r="A62" s="1" t="s">
        <v>219</v>
      </c>
      <c r="B62" s="2" t="s">
        <v>50</v>
      </c>
      <c r="C62" s="2">
        <v>43</v>
      </c>
      <c r="D62" s="2" t="s">
        <v>45</v>
      </c>
      <c r="E62" s="2" t="s">
        <v>9</v>
      </c>
      <c r="F62" s="2" t="s">
        <v>56</v>
      </c>
      <c r="G62" s="2" t="s">
        <v>220</v>
      </c>
      <c r="H62" s="2" t="s">
        <v>221</v>
      </c>
      <c r="I62" s="2">
        <v>40780</v>
      </c>
      <c r="J62" s="2">
        <v>8596</v>
      </c>
      <c r="K62" s="2">
        <v>7678</v>
      </c>
      <c r="L62" s="2">
        <f t="shared" si="5"/>
        <v>57054</v>
      </c>
      <c r="M62" s="2" t="s">
        <v>49</v>
      </c>
      <c r="N62" s="5" t="s">
        <v>4</v>
      </c>
      <c r="O62" s="21" t="str">
        <f t="shared" si="1"/>
        <v>DISCHARGED</v>
      </c>
      <c r="P62" s="21">
        <f t="shared" ca="1" si="2"/>
        <v>254</v>
      </c>
      <c r="Q62" s="21" t="str">
        <f t="shared" ca="1" si="3"/>
        <v>61+ days overdue</v>
      </c>
      <c r="R62" s="21">
        <f t="shared" ca="1" si="4"/>
        <v>62</v>
      </c>
    </row>
    <row r="63" spans="1:18">
      <c r="A63" s="3" t="s">
        <v>222</v>
      </c>
      <c r="B63" s="4" t="s">
        <v>81</v>
      </c>
      <c r="C63" s="4">
        <v>18</v>
      </c>
      <c r="D63" s="4" t="s">
        <v>65</v>
      </c>
      <c r="E63" s="4" t="s">
        <v>10</v>
      </c>
      <c r="F63" s="4" t="s">
        <v>46</v>
      </c>
      <c r="G63" s="13">
        <v>45793</v>
      </c>
      <c r="H63" s="4" t="s">
        <v>223</v>
      </c>
      <c r="I63" s="4">
        <v>46663</v>
      </c>
      <c r="J63" s="4">
        <v>9955</v>
      </c>
      <c r="K63" s="4">
        <v>3428</v>
      </c>
      <c r="L63" s="2">
        <f t="shared" si="5"/>
        <v>60046</v>
      </c>
      <c r="M63" s="4" t="s">
        <v>54</v>
      </c>
      <c r="N63" s="6" t="s">
        <v>4</v>
      </c>
      <c r="O63" s="21" t="str">
        <f t="shared" si="1"/>
        <v>DISCHARGED</v>
      </c>
      <c r="P63" s="21" t="e">
        <f t="shared" ca="1" si="2"/>
        <v>#VALUE!</v>
      </c>
      <c r="Q63" s="21" t="e">
        <f t="shared" ca="1" si="3"/>
        <v>#VALUE!</v>
      </c>
      <c r="R63" s="21" t="e">
        <f t="shared" ca="1" si="4"/>
        <v>#VALUE!</v>
      </c>
    </row>
    <row r="64" spans="1:18">
      <c r="A64" s="1" t="s">
        <v>224</v>
      </c>
      <c r="B64" s="2" t="s">
        <v>130</v>
      </c>
      <c r="C64" s="2"/>
      <c r="D64" s="2" t="s">
        <v>65</v>
      </c>
      <c r="E64" s="2" t="s">
        <v>9</v>
      </c>
      <c r="F64" s="2"/>
      <c r="G64" s="2" t="s">
        <v>225</v>
      </c>
      <c r="H64" s="2" t="s">
        <v>155</v>
      </c>
      <c r="I64" s="2">
        <v>22903</v>
      </c>
      <c r="J64" s="2">
        <v>1246</v>
      </c>
      <c r="K64" s="2">
        <v>7744</v>
      </c>
      <c r="L64" s="2">
        <f t="shared" si="5"/>
        <v>31893</v>
      </c>
      <c r="M64" s="2" t="s">
        <v>54</v>
      </c>
      <c r="N64" s="5" t="s">
        <v>4</v>
      </c>
      <c r="O64" s="21" t="str">
        <f t="shared" si="1"/>
        <v>DISCHARGED</v>
      </c>
      <c r="P64" s="21" t="e">
        <f t="shared" ca="1" si="2"/>
        <v>#VALUE!</v>
      </c>
      <c r="Q64" s="21" t="e">
        <f t="shared" ca="1" si="3"/>
        <v>#VALUE!</v>
      </c>
      <c r="R64" s="21" t="e">
        <f t="shared" ca="1" si="4"/>
        <v>#VALUE!</v>
      </c>
    </row>
    <row r="65" spans="1:18">
      <c r="A65" s="3" t="s">
        <v>226</v>
      </c>
      <c r="B65" s="4" t="s">
        <v>43</v>
      </c>
      <c r="C65" s="4" t="s">
        <v>44</v>
      </c>
      <c r="D65" s="4" t="s">
        <v>45</v>
      </c>
      <c r="E65" s="4" t="s">
        <v>6</v>
      </c>
      <c r="F65" s="4" t="s">
        <v>74</v>
      </c>
      <c r="G65" s="4" t="s">
        <v>227</v>
      </c>
      <c r="H65" s="4" t="s">
        <v>228</v>
      </c>
      <c r="I65" s="4">
        <v>7052</v>
      </c>
      <c r="J65" s="4">
        <v>6841</v>
      </c>
      <c r="K65" s="4">
        <v>3564</v>
      </c>
      <c r="L65" s="2">
        <f t="shared" si="5"/>
        <v>17457</v>
      </c>
      <c r="M65" s="4" t="s">
        <v>54</v>
      </c>
      <c r="N65" s="6" t="s">
        <v>4</v>
      </c>
      <c r="O65" s="21" t="str">
        <f t="shared" si="1"/>
        <v>DISCHARGED</v>
      </c>
      <c r="P65" s="21" t="e">
        <f t="shared" ca="1" si="2"/>
        <v>#VALUE!</v>
      </c>
      <c r="Q65" s="21" t="e">
        <f t="shared" ca="1" si="3"/>
        <v>#VALUE!</v>
      </c>
      <c r="R65" s="21" t="e">
        <f t="shared" ca="1" si="4"/>
        <v>#VALUE!</v>
      </c>
    </row>
    <row r="66" spans="1:18">
      <c r="A66" s="1" t="s">
        <v>229</v>
      </c>
      <c r="B66" s="2" t="s">
        <v>130</v>
      </c>
      <c r="C66" s="2">
        <v>44</v>
      </c>
      <c r="D66" s="2" t="s">
        <v>45</v>
      </c>
      <c r="E66" s="2" t="s">
        <v>9</v>
      </c>
      <c r="F66" s="2"/>
      <c r="G66" s="2" t="s">
        <v>230</v>
      </c>
      <c r="H66" s="2" t="s">
        <v>231</v>
      </c>
      <c r="I66" s="2">
        <v>49997</v>
      </c>
      <c r="J66" s="2">
        <v>8336</v>
      </c>
      <c r="K66" s="2">
        <v>14352</v>
      </c>
      <c r="L66" s="2">
        <f t="shared" ref="L66:L97" si="6">SUM(I66,J66,K66)</f>
        <v>72685</v>
      </c>
      <c r="M66" s="2" t="s">
        <v>49</v>
      </c>
      <c r="N66" s="5" t="s">
        <v>3</v>
      </c>
      <c r="O66" s="21" t="str">
        <f t="shared" si="1"/>
        <v>DISCHARGED</v>
      </c>
      <c r="P66" s="21">
        <f t="shared" ca="1" si="2"/>
        <v>0</v>
      </c>
      <c r="Q66" s="21" t="str">
        <f t="shared" ca="1" si="3"/>
        <v>Fully_Paid</v>
      </c>
      <c r="R66" s="21" t="e">
        <f t="shared" ca="1" si="4"/>
        <v>#VALUE!</v>
      </c>
    </row>
    <row r="67" spans="1:18">
      <c r="A67" s="3" t="s">
        <v>232</v>
      </c>
      <c r="B67" s="4" t="s">
        <v>64</v>
      </c>
      <c r="C67" s="4" t="s">
        <v>44</v>
      </c>
      <c r="D67" s="4" t="s">
        <v>65</v>
      </c>
      <c r="E67" s="4" t="s">
        <v>7</v>
      </c>
      <c r="F67" s="4" t="s">
        <v>74</v>
      </c>
      <c r="G67" s="4" t="s">
        <v>233</v>
      </c>
      <c r="H67" s="4" t="s">
        <v>234</v>
      </c>
      <c r="I67" s="4">
        <v>31090</v>
      </c>
      <c r="J67" s="4">
        <v>5885</v>
      </c>
      <c r="K67" s="4">
        <v>8885</v>
      </c>
      <c r="L67" s="2">
        <f t="shared" si="6"/>
        <v>45860</v>
      </c>
      <c r="M67" s="4" t="s">
        <v>49</v>
      </c>
      <c r="N67" s="6" t="s">
        <v>4</v>
      </c>
      <c r="O67" s="21" t="str">
        <f t="shared" ref="O67:O100" si="7">IF(OR(H67="",H67="UNKNOWN"), "CURRENTLY ADMITTED", "DISCHARGED")</f>
        <v>DISCHARGED</v>
      </c>
      <c r="P67" s="21" t="e">
        <f t="shared" ref="P67:P100" ca="1" si="8">IF(N67="Pending", IF(OR(H67="",H67="UNKNOWN"),TODAY()-G67,TODAY()-H67),0)</f>
        <v>#VALUE!</v>
      </c>
      <c r="Q67" s="21" t="e">
        <f t="shared" ref="Q67:Q100" ca="1" si="9">IF(P67=0,"Fully_Paid",IF(P67&lt;=30,"1-30 Days overdue",IF(P67&lt;=60,"31-60 days overdue","61+ days overdue")))</f>
        <v>#VALUE!</v>
      </c>
      <c r="R67" s="21" t="e">
        <f t="shared" ref="R67:R100" ca="1" si="10">IF(OR(H67="",H67="UNKNOWN"),TODAY()-G67,H67-G67)</f>
        <v>#VALUE!</v>
      </c>
    </row>
    <row r="68" spans="1:18">
      <c r="A68" s="1" t="s">
        <v>235</v>
      </c>
      <c r="B68" s="2" t="s">
        <v>85</v>
      </c>
      <c r="C68" s="2"/>
      <c r="D68" s="2" t="s">
        <v>65</v>
      </c>
      <c r="E68" s="2" t="s">
        <v>8</v>
      </c>
      <c r="F68" s="2"/>
      <c r="G68" s="2" t="s">
        <v>236</v>
      </c>
      <c r="H68" s="2" t="s">
        <v>237</v>
      </c>
      <c r="I68" s="2">
        <v>42621</v>
      </c>
      <c r="J68" s="2">
        <v>3170</v>
      </c>
      <c r="K68" s="2">
        <v>12455</v>
      </c>
      <c r="L68" s="2">
        <f t="shared" si="6"/>
        <v>58246</v>
      </c>
      <c r="M68" s="2" t="s">
        <v>49</v>
      </c>
      <c r="N68" s="5" t="s">
        <v>3</v>
      </c>
      <c r="O68" s="21" t="str">
        <f t="shared" si="7"/>
        <v>DISCHARGED</v>
      </c>
      <c r="P68" s="21">
        <f t="shared" ca="1" si="8"/>
        <v>0</v>
      </c>
      <c r="Q68" s="21" t="str">
        <f t="shared" ca="1" si="9"/>
        <v>Fully_Paid</v>
      </c>
      <c r="R68" s="21" t="e">
        <f t="shared" ca="1" si="10"/>
        <v>#VALUE!</v>
      </c>
    </row>
    <row r="69" spans="1:18">
      <c r="A69" s="3" t="s">
        <v>238</v>
      </c>
      <c r="B69" s="4" t="s">
        <v>60</v>
      </c>
      <c r="C69" s="4"/>
      <c r="D69" s="4" t="s">
        <v>65</v>
      </c>
      <c r="E69" s="4" t="s">
        <v>9</v>
      </c>
      <c r="F69" s="4" t="s">
        <v>46</v>
      </c>
      <c r="G69" s="4" t="s">
        <v>239</v>
      </c>
      <c r="H69" s="4" t="s">
        <v>240</v>
      </c>
      <c r="I69" s="4">
        <v>45135</v>
      </c>
      <c r="J69" s="4">
        <v>3187</v>
      </c>
      <c r="K69" s="4">
        <v>9910</v>
      </c>
      <c r="L69" s="2">
        <f t="shared" si="6"/>
        <v>58232</v>
      </c>
      <c r="M69" s="4" t="s">
        <v>54</v>
      </c>
      <c r="N69" s="6" t="s">
        <v>4</v>
      </c>
      <c r="O69" s="21" t="str">
        <f t="shared" si="7"/>
        <v>DISCHARGED</v>
      </c>
      <c r="P69" s="21">
        <f t="shared" ca="1" si="8"/>
        <v>220</v>
      </c>
      <c r="Q69" s="21" t="str">
        <f t="shared" ca="1" si="9"/>
        <v>61+ days overdue</v>
      </c>
      <c r="R69" s="21">
        <f t="shared" ca="1" si="10"/>
        <v>273</v>
      </c>
    </row>
    <row r="70" spans="1:18">
      <c r="A70" s="1" t="s">
        <v>241</v>
      </c>
      <c r="B70" s="2" t="s">
        <v>157</v>
      </c>
      <c r="C70" s="2"/>
      <c r="D70" s="2" t="s">
        <v>45</v>
      </c>
      <c r="E70" s="2" t="s">
        <v>7</v>
      </c>
      <c r="F70" s="2" t="s">
        <v>70</v>
      </c>
      <c r="G70" s="12">
        <v>45992</v>
      </c>
      <c r="H70" s="2" t="s">
        <v>57</v>
      </c>
      <c r="I70" s="2">
        <v>19362</v>
      </c>
      <c r="J70" s="2">
        <v>7691</v>
      </c>
      <c r="K70" s="2">
        <v>2287</v>
      </c>
      <c r="L70" s="2">
        <f t="shared" si="6"/>
        <v>29340</v>
      </c>
      <c r="M70" s="2" t="s">
        <v>49</v>
      </c>
      <c r="N70" s="5" t="s">
        <v>3</v>
      </c>
      <c r="O70" s="21" t="str">
        <f t="shared" si="7"/>
        <v>DISCHARGED</v>
      </c>
      <c r="P70" s="21">
        <f t="shared" ca="1" si="8"/>
        <v>0</v>
      </c>
      <c r="Q70" s="21" t="str">
        <f t="shared" ca="1" si="9"/>
        <v>Fully_Paid</v>
      </c>
      <c r="R70" s="21">
        <f t="shared" ca="1" si="10"/>
        <v>-142</v>
      </c>
    </row>
    <row r="71" spans="1:18">
      <c r="A71" s="3" t="s">
        <v>242</v>
      </c>
      <c r="B71" s="4" t="s">
        <v>243</v>
      </c>
      <c r="C71" s="4">
        <v>22</v>
      </c>
      <c r="D71" s="4" t="s">
        <v>45</v>
      </c>
      <c r="E71" s="4" t="s">
        <v>6</v>
      </c>
      <c r="F71" s="4" t="s">
        <v>56</v>
      </c>
      <c r="G71" s="4" t="s">
        <v>132</v>
      </c>
      <c r="H71" s="4" t="s">
        <v>244</v>
      </c>
      <c r="I71" s="4">
        <v>35531</v>
      </c>
      <c r="J71" s="4">
        <v>3218</v>
      </c>
      <c r="K71" s="4">
        <v>14142</v>
      </c>
      <c r="L71" s="2">
        <f t="shared" si="6"/>
        <v>52891</v>
      </c>
      <c r="M71" s="4" t="s">
        <v>54</v>
      </c>
      <c r="N71" s="6" t="s">
        <v>3</v>
      </c>
      <c r="O71" s="21" t="str">
        <f t="shared" si="7"/>
        <v>DISCHARGED</v>
      </c>
      <c r="P71" s="21">
        <f t="shared" ca="1" si="8"/>
        <v>0</v>
      </c>
      <c r="Q71" s="21" t="str">
        <f t="shared" ca="1" si="9"/>
        <v>Fully_Paid</v>
      </c>
      <c r="R71" s="21" t="e">
        <f t="shared" ca="1" si="10"/>
        <v>#VALUE!</v>
      </c>
    </row>
    <row r="72" spans="1:18">
      <c r="A72" s="1" t="s">
        <v>245</v>
      </c>
      <c r="B72" s="2" t="s">
        <v>50</v>
      </c>
      <c r="C72" s="2"/>
      <c r="D72" s="2" t="s">
        <v>65</v>
      </c>
      <c r="E72" s="2" t="s">
        <v>10</v>
      </c>
      <c r="F72" s="2" t="s">
        <v>70</v>
      </c>
      <c r="G72" s="2" t="s">
        <v>163</v>
      </c>
      <c r="H72" s="2" t="s">
        <v>246</v>
      </c>
      <c r="I72" s="2">
        <v>15553</v>
      </c>
      <c r="J72" s="2">
        <v>2336</v>
      </c>
      <c r="K72" s="2">
        <v>14157</v>
      </c>
      <c r="L72" s="2">
        <f t="shared" si="6"/>
        <v>32046</v>
      </c>
      <c r="M72" s="2" t="s">
        <v>49</v>
      </c>
      <c r="N72" s="5" t="s">
        <v>4</v>
      </c>
      <c r="O72" s="21" t="str">
        <f t="shared" si="7"/>
        <v>DISCHARGED</v>
      </c>
      <c r="P72" s="21">
        <f t="shared" ca="1" si="8"/>
        <v>317</v>
      </c>
      <c r="Q72" s="21" t="str">
        <f t="shared" ca="1" si="9"/>
        <v>61+ days overdue</v>
      </c>
      <c r="R72" s="21">
        <f t="shared" ca="1" si="10"/>
        <v>91</v>
      </c>
    </row>
    <row r="73" spans="1:18">
      <c r="A73" s="3" t="s">
        <v>247</v>
      </c>
      <c r="B73" s="4" t="s">
        <v>73</v>
      </c>
      <c r="C73" s="4">
        <v>9</v>
      </c>
      <c r="D73" s="4" t="s">
        <v>45</v>
      </c>
      <c r="E73" s="4" t="s">
        <v>8</v>
      </c>
      <c r="F73" s="4" t="s">
        <v>70</v>
      </c>
      <c r="G73" s="4" t="s">
        <v>248</v>
      </c>
      <c r="H73" s="4" t="s">
        <v>117</v>
      </c>
      <c r="I73" s="4">
        <v>47662</v>
      </c>
      <c r="J73" s="4">
        <v>1567</v>
      </c>
      <c r="K73" s="4">
        <v>13470</v>
      </c>
      <c r="L73" s="2">
        <f t="shared" si="6"/>
        <v>62699</v>
      </c>
      <c r="M73" s="4" t="s">
        <v>49</v>
      </c>
      <c r="N73" s="6" t="s">
        <v>3</v>
      </c>
      <c r="O73" s="21" t="str">
        <f t="shared" si="7"/>
        <v>DISCHARGED</v>
      </c>
      <c r="P73" s="21">
        <f t="shared" ca="1" si="8"/>
        <v>0</v>
      </c>
      <c r="Q73" s="21" t="str">
        <f t="shared" ca="1" si="9"/>
        <v>Fully_Paid</v>
      </c>
      <c r="R73" s="21" t="e">
        <f t="shared" ca="1" si="10"/>
        <v>#VALUE!</v>
      </c>
    </row>
    <row r="74" spans="1:18">
      <c r="A74" s="1" t="s">
        <v>249</v>
      </c>
      <c r="B74" s="2" t="s">
        <v>43</v>
      </c>
      <c r="C74" s="2" t="s">
        <v>44</v>
      </c>
      <c r="D74" s="2" t="s">
        <v>65</v>
      </c>
      <c r="E74" s="2" t="s">
        <v>8</v>
      </c>
      <c r="F74" s="2" t="s">
        <v>56</v>
      </c>
      <c r="G74" s="2" t="s">
        <v>250</v>
      </c>
      <c r="H74" s="2" t="s">
        <v>251</v>
      </c>
      <c r="I74" s="2">
        <v>42591</v>
      </c>
      <c r="J74" s="2">
        <v>2430</v>
      </c>
      <c r="K74" s="2">
        <v>13430</v>
      </c>
      <c r="L74" s="2">
        <f t="shared" si="6"/>
        <v>58451</v>
      </c>
      <c r="M74" s="2" t="s">
        <v>54</v>
      </c>
      <c r="N74" s="5" t="s">
        <v>4</v>
      </c>
      <c r="O74" s="21" t="str">
        <f t="shared" si="7"/>
        <v>DISCHARGED</v>
      </c>
      <c r="P74" s="21" t="e">
        <f t="shared" ca="1" si="8"/>
        <v>#VALUE!</v>
      </c>
      <c r="Q74" s="21" t="e">
        <f t="shared" ca="1" si="9"/>
        <v>#VALUE!</v>
      </c>
      <c r="R74" s="21" t="e">
        <f t="shared" ca="1" si="10"/>
        <v>#VALUE!</v>
      </c>
    </row>
    <row r="75" spans="1:18">
      <c r="A75" s="3" t="s">
        <v>252</v>
      </c>
      <c r="B75" s="4" t="s">
        <v>95</v>
      </c>
      <c r="C75" s="4">
        <v>72</v>
      </c>
      <c r="D75" s="4" t="s">
        <v>45</v>
      </c>
      <c r="E75" s="4" t="s">
        <v>8</v>
      </c>
      <c r="F75" s="4" t="s">
        <v>56</v>
      </c>
      <c r="G75" s="4" t="s">
        <v>253</v>
      </c>
      <c r="H75" s="4" t="s">
        <v>71</v>
      </c>
      <c r="I75" s="4">
        <v>11181</v>
      </c>
      <c r="J75" s="4">
        <v>5749</v>
      </c>
      <c r="K75" s="4">
        <v>13395</v>
      </c>
      <c r="L75" s="2">
        <f t="shared" si="6"/>
        <v>30325</v>
      </c>
      <c r="M75" s="4" t="s">
        <v>54</v>
      </c>
      <c r="N75" s="6" t="s">
        <v>3</v>
      </c>
      <c r="O75" s="21" t="str">
        <f t="shared" si="7"/>
        <v>DISCHARGED</v>
      </c>
      <c r="P75" s="21">
        <f t="shared" ca="1" si="8"/>
        <v>0</v>
      </c>
      <c r="Q75" s="21" t="str">
        <f t="shared" ca="1" si="9"/>
        <v>Fully_Paid</v>
      </c>
      <c r="R75" s="21" t="e">
        <f t="shared" ca="1" si="10"/>
        <v>#VALUE!</v>
      </c>
    </row>
    <row r="76" spans="1:18">
      <c r="A76" s="1" t="s">
        <v>254</v>
      </c>
      <c r="B76" s="2" t="s">
        <v>50</v>
      </c>
      <c r="C76" s="2">
        <v>45</v>
      </c>
      <c r="D76" s="2" t="s">
        <v>45</v>
      </c>
      <c r="E76" s="2" t="s">
        <v>7</v>
      </c>
      <c r="F76" s="2" t="s">
        <v>51</v>
      </c>
      <c r="G76" s="2" t="s">
        <v>132</v>
      </c>
      <c r="H76" s="2" t="s">
        <v>255</v>
      </c>
      <c r="I76" s="2">
        <v>12384</v>
      </c>
      <c r="J76" s="2" t="s">
        <v>104</v>
      </c>
      <c r="K76" s="2">
        <v>2170</v>
      </c>
      <c r="L76" s="2">
        <f t="shared" si="6"/>
        <v>14554</v>
      </c>
      <c r="M76" s="2" t="s">
        <v>49</v>
      </c>
      <c r="N76" s="5" t="s">
        <v>4</v>
      </c>
      <c r="O76" s="21" t="str">
        <f t="shared" si="7"/>
        <v>DISCHARGED</v>
      </c>
      <c r="P76" s="21" t="e">
        <f t="shared" ca="1" si="8"/>
        <v>#VALUE!</v>
      </c>
      <c r="Q76" s="21" t="e">
        <f t="shared" ca="1" si="9"/>
        <v>#VALUE!</v>
      </c>
      <c r="R76" s="21" t="e">
        <f t="shared" ca="1" si="10"/>
        <v>#VALUE!</v>
      </c>
    </row>
    <row r="77" spans="1:18">
      <c r="A77" s="3" t="s">
        <v>256</v>
      </c>
      <c r="B77" s="4" t="s">
        <v>184</v>
      </c>
      <c r="C77" s="4" t="s">
        <v>44</v>
      </c>
      <c r="D77" s="4" t="s">
        <v>45</v>
      </c>
      <c r="E77" s="4" t="s">
        <v>7</v>
      </c>
      <c r="F77" s="4" t="s">
        <v>51</v>
      </c>
      <c r="G77" s="4" t="s">
        <v>257</v>
      </c>
      <c r="H77" s="4" t="s">
        <v>258</v>
      </c>
      <c r="I77" s="4">
        <v>43810</v>
      </c>
      <c r="J77" s="4">
        <v>6351</v>
      </c>
      <c r="K77" s="4">
        <v>13760</v>
      </c>
      <c r="L77" s="2">
        <f t="shared" si="6"/>
        <v>63921</v>
      </c>
      <c r="M77" s="4" t="s">
        <v>49</v>
      </c>
      <c r="N77" s="6" t="s">
        <v>4</v>
      </c>
      <c r="O77" s="21" t="str">
        <f t="shared" si="7"/>
        <v>DISCHARGED</v>
      </c>
      <c r="P77" s="21">
        <f t="shared" ca="1" si="8"/>
        <v>380</v>
      </c>
      <c r="Q77" s="21" t="str">
        <f t="shared" ca="1" si="9"/>
        <v>61+ days overdue</v>
      </c>
      <c r="R77" s="21" t="e">
        <f t="shared" ca="1" si="10"/>
        <v>#VALUE!</v>
      </c>
    </row>
    <row r="78" spans="1:18">
      <c r="A78" s="1" t="s">
        <v>259</v>
      </c>
      <c r="B78" s="2" t="s">
        <v>130</v>
      </c>
      <c r="C78" s="2"/>
      <c r="D78" s="2" t="s">
        <v>65</v>
      </c>
      <c r="E78" s="2" t="s">
        <v>9</v>
      </c>
      <c r="F78" s="2"/>
      <c r="G78" s="2" t="s">
        <v>260</v>
      </c>
      <c r="H78" s="2" t="s">
        <v>161</v>
      </c>
      <c r="I78" s="2">
        <v>26073</v>
      </c>
      <c r="J78" s="2">
        <v>1473</v>
      </c>
      <c r="K78" s="2">
        <v>4621</v>
      </c>
      <c r="L78" s="2">
        <f t="shared" si="6"/>
        <v>32167</v>
      </c>
      <c r="M78" s="2" t="s">
        <v>49</v>
      </c>
      <c r="N78" s="5" t="s">
        <v>4</v>
      </c>
      <c r="O78" s="21" t="str">
        <f t="shared" si="7"/>
        <v>DISCHARGED</v>
      </c>
      <c r="P78" s="21">
        <f t="shared" ca="1" si="8"/>
        <v>472</v>
      </c>
      <c r="Q78" s="21" t="str">
        <f t="shared" ca="1" si="9"/>
        <v>61+ days overdue</v>
      </c>
      <c r="R78" s="21" t="e">
        <f t="shared" ca="1" si="10"/>
        <v>#VALUE!</v>
      </c>
    </row>
    <row r="79" spans="1:18">
      <c r="A79" s="3" t="s">
        <v>261</v>
      </c>
      <c r="B79" s="4" t="s">
        <v>64</v>
      </c>
      <c r="C79" s="4" t="s">
        <v>44</v>
      </c>
      <c r="D79" s="4" t="s">
        <v>45</v>
      </c>
      <c r="E79" s="4" t="s">
        <v>7</v>
      </c>
      <c r="F79" s="4" t="s">
        <v>51</v>
      </c>
      <c r="G79" s="4" t="s">
        <v>125</v>
      </c>
      <c r="H79" s="4" t="s">
        <v>126</v>
      </c>
      <c r="I79" s="4">
        <v>10733</v>
      </c>
      <c r="J79" s="4">
        <v>6870</v>
      </c>
      <c r="K79" s="4">
        <v>10649</v>
      </c>
      <c r="L79" s="2">
        <f t="shared" si="6"/>
        <v>28252</v>
      </c>
      <c r="M79" s="4" t="s">
        <v>54</v>
      </c>
      <c r="N79" s="6" t="s">
        <v>3</v>
      </c>
      <c r="O79" s="21" t="str">
        <f t="shared" si="7"/>
        <v>DISCHARGED</v>
      </c>
      <c r="P79" s="21">
        <f t="shared" ca="1" si="8"/>
        <v>0</v>
      </c>
      <c r="Q79" s="21" t="str">
        <f t="shared" ca="1" si="9"/>
        <v>Fully_Paid</v>
      </c>
      <c r="R79" s="21" t="e">
        <f t="shared" ca="1" si="10"/>
        <v>#VALUE!</v>
      </c>
    </row>
    <row r="80" spans="1:18">
      <c r="A80" s="1" t="s">
        <v>262</v>
      </c>
      <c r="B80" s="2"/>
      <c r="C80" s="2">
        <v>73</v>
      </c>
      <c r="D80" s="2" t="s">
        <v>45</v>
      </c>
      <c r="E80" s="2" t="s">
        <v>8</v>
      </c>
      <c r="F80" s="2" t="s">
        <v>46</v>
      </c>
      <c r="G80" s="2" t="s">
        <v>263</v>
      </c>
      <c r="H80" s="2" t="s">
        <v>92</v>
      </c>
      <c r="I80" s="2">
        <v>48140</v>
      </c>
      <c r="J80" s="2">
        <v>3400</v>
      </c>
      <c r="K80" s="2">
        <v>6879</v>
      </c>
      <c r="L80" s="2">
        <f t="shared" si="6"/>
        <v>58419</v>
      </c>
      <c r="M80" s="2" t="s">
        <v>49</v>
      </c>
      <c r="N80" s="5" t="s">
        <v>3</v>
      </c>
      <c r="O80" s="21" t="str">
        <f t="shared" si="7"/>
        <v>DISCHARGED</v>
      </c>
      <c r="P80" s="21">
        <f t="shared" ca="1" si="8"/>
        <v>0</v>
      </c>
      <c r="Q80" s="21" t="str">
        <f t="shared" ca="1" si="9"/>
        <v>Fully_Paid</v>
      </c>
      <c r="R80" s="21" t="e">
        <f t="shared" ca="1" si="10"/>
        <v>#VALUE!</v>
      </c>
    </row>
    <row r="81" spans="1:18">
      <c r="A81" s="3" t="s">
        <v>264</v>
      </c>
      <c r="B81" s="4" t="s">
        <v>130</v>
      </c>
      <c r="C81" s="4">
        <v>36</v>
      </c>
      <c r="D81" s="4" t="s">
        <v>65</v>
      </c>
      <c r="E81" s="4" t="s">
        <v>6</v>
      </c>
      <c r="F81" s="4" t="s">
        <v>51</v>
      </c>
      <c r="G81" s="13">
        <v>45700</v>
      </c>
      <c r="H81" s="4" t="s">
        <v>265</v>
      </c>
      <c r="I81" s="4">
        <v>14850</v>
      </c>
      <c r="J81" s="4">
        <v>3928</v>
      </c>
      <c r="K81" s="4">
        <v>9283</v>
      </c>
      <c r="L81" s="2">
        <f t="shared" si="6"/>
        <v>28061</v>
      </c>
      <c r="M81" s="4" t="s">
        <v>54</v>
      </c>
      <c r="N81" s="6" t="s">
        <v>3</v>
      </c>
      <c r="O81" s="21" t="str">
        <f t="shared" si="7"/>
        <v>DISCHARGED</v>
      </c>
      <c r="P81" s="21">
        <f t="shared" ca="1" si="8"/>
        <v>0</v>
      </c>
      <c r="Q81" s="21" t="str">
        <f t="shared" ca="1" si="9"/>
        <v>Fully_Paid</v>
      </c>
      <c r="R81" s="21" t="e">
        <f t="shared" ca="1" si="10"/>
        <v>#VALUE!</v>
      </c>
    </row>
    <row r="82" spans="1:18">
      <c r="A82" s="1" t="s">
        <v>266</v>
      </c>
      <c r="B82" s="2" t="s">
        <v>64</v>
      </c>
      <c r="C82" s="2">
        <v>67</v>
      </c>
      <c r="D82" s="2" t="s">
        <v>45</v>
      </c>
      <c r="E82" s="2" t="s">
        <v>10</v>
      </c>
      <c r="F82" s="2" t="s">
        <v>46</v>
      </c>
      <c r="G82" s="2" t="s">
        <v>267</v>
      </c>
      <c r="H82" s="2" t="s">
        <v>169</v>
      </c>
      <c r="I82" s="2">
        <v>21542</v>
      </c>
      <c r="J82" s="2">
        <v>8194</v>
      </c>
      <c r="K82" s="2">
        <v>11771</v>
      </c>
      <c r="L82" s="2">
        <f t="shared" si="6"/>
        <v>41507</v>
      </c>
      <c r="M82" s="2" t="s">
        <v>49</v>
      </c>
      <c r="N82" s="5" t="s">
        <v>3</v>
      </c>
      <c r="O82" s="21" t="str">
        <f t="shared" si="7"/>
        <v>DISCHARGED</v>
      </c>
      <c r="P82" s="21">
        <f t="shared" ca="1" si="8"/>
        <v>0</v>
      </c>
      <c r="Q82" s="21" t="str">
        <f t="shared" ca="1" si="9"/>
        <v>Fully_Paid</v>
      </c>
      <c r="R82" s="21" t="e">
        <f t="shared" ca="1" si="10"/>
        <v>#VALUE!</v>
      </c>
    </row>
    <row r="83" spans="1:18">
      <c r="A83" s="3" t="s">
        <v>268</v>
      </c>
      <c r="B83" s="4" t="s">
        <v>95</v>
      </c>
      <c r="C83" s="4" t="s">
        <v>44</v>
      </c>
      <c r="D83" s="4" t="s">
        <v>65</v>
      </c>
      <c r="E83" s="4" t="s">
        <v>9</v>
      </c>
      <c r="F83" s="4" t="s">
        <v>51</v>
      </c>
      <c r="G83" s="4" t="s">
        <v>269</v>
      </c>
      <c r="H83" s="4" t="s">
        <v>270</v>
      </c>
      <c r="I83" s="4">
        <v>44196</v>
      </c>
      <c r="J83" s="4">
        <v>1091</v>
      </c>
      <c r="K83" s="4">
        <v>8418</v>
      </c>
      <c r="L83" s="2">
        <f t="shared" si="6"/>
        <v>53705</v>
      </c>
      <c r="M83" s="4" t="s">
        <v>49</v>
      </c>
      <c r="N83" s="6" t="s">
        <v>3</v>
      </c>
      <c r="O83" s="21" t="str">
        <f t="shared" si="7"/>
        <v>DISCHARGED</v>
      </c>
      <c r="P83" s="21">
        <f t="shared" ca="1" si="8"/>
        <v>0</v>
      </c>
      <c r="Q83" s="21" t="str">
        <f t="shared" ca="1" si="9"/>
        <v>Fully_Paid</v>
      </c>
      <c r="R83" s="21">
        <f t="shared" ca="1" si="10"/>
        <v>62</v>
      </c>
    </row>
    <row r="84" spans="1:18">
      <c r="A84" s="1" t="s">
        <v>271</v>
      </c>
      <c r="B84" s="2" t="s">
        <v>78</v>
      </c>
      <c r="C84" s="2"/>
      <c r="D84" s="2" t="s">
        <v>45</v>
      </c>
      <c r="E84" s="2" t="s">
        <v>8</v>
      </c>
      <c r="F84" s="2" t="s">
        <v>46</v>
      </c>
      <c r="G84" s="2" t="s">
        <v>272</v>
      </c>
      <c r="H84" s="2" t="s">
        <v>103</v>
      </c>
      <c r="I84" s="2" t="s">
        <v>104</v>
      </c>
      <c r="J84" s="2">
        <v>6278</v>
      </c>
      <c r="K84" s="2">
        <v>5112</v>
      </c>
      <c r="L84" s="2">
        <f t="shared" si="6"/>
        <v>11390</v>
      </c>
      <c r="M84" s="2" t="s">
        <v>54</v>
      </c>
      <c r="N84" s="5" t="s">
        <v>4</v>
      </c>
      <c r="O84" s="21" t="str">
        <f t="shared" si="7"/>
        <v>DISCHARGED</v>
      </c>
      <c r="P84" s="21" t="e">
        <f t="shared" ca="1" si="8"/>
        <v>#VALUE!</v>
      </c>
      <c r="Q84" s="21" t="e">
        <f t="shared" ca="1" si="9"/>
        <v>#VALUE!</v>
      </c>
      <c r="R84" s="21" t="e">
        <f t="shared" ca="1" si="10"/>
        <v>#VALUE!</v>
      </c>
    </row>
    <row r="85" spans="1:18">
      <c r="A85" s="3" t="s">
        <v>273</v>
      </c>
      <c r="B85" s="4" t="s">
        <v>95</v>
      </c>
      <c r="C85" s="4"/>
      <c r="D85" s="4" t="s">
        <v>65</v>
      </c>
      <c r="E85" s="4" t="s">
        <v>8</v>
      </c>
      <c r="F85" s="4" t="s">
        <v>46</v>
      </c>
      <c r="G85" s="4" t="s">
        <v>274</v>
      </c>
      <c r="H85" s="4" t="s">
        <v>206</v>
      </c>
      <c r="I85" s="4">
        <v>9608</v>
      </c>
      <c r="J85" s="4">
        <v>2547</v>
      </c>
      <c r="K85" s="4">
        <v>9317</v>
      </c>
      <c r="L85" s="2">
        <f t="shared" si="6"/>
        <v>21472</v>
      </c>
      <c r="M85" s="4" t="s">
        <v>54</v>
      </c>
      <c r="N85" s="6" t="s">
        <v>3</v>
      </c>
      <c r="O85" s="21" t="str">
        <f t="shared" si="7"/>
        <v>DISCHARGED</v>
      </c>
      <c r="P85" s="21">
        <f t="shared" ca="1" si="8"/>
        <v>0</v>
      </c>
      <c r="Q85" s="21" t="str">
        <f t="shared" ca="1" si="9"/>
        <v>Fully_Paid</v>
      </c>
      <c r="R85" s="21" t="e">
        <f t="shared" ca="1" si="10"/>
        <v>#VALUE!</v>
      </c>
    </row>
    <row r="86" spans="1:18">
      <c r="A86" s="1" t="s">
        <v>275</v>
      </c>
      <c r="B86" s="2" t="s">
        <v>50</v>
      </c>
      <c r="C86" s="2"/>
      <c r="D86" s="2" t="s">
        <v>65</v>
      </c>
      <c r="E86" s="2" t="s">
        <v>9</v>
      </c>
      <c r="F86" s="2" t="s">
        <v>51</v>
      </c>
      <c r="G86" s="2" t="s">
        <v>276</v>
      </c>
      <c r="H86" s="2" t="s">
        <v>277</v>
      </c>
      <c r="I86" s="2">
        <v>40180</v>
      </c>
      <c r="J86" s="2">
        <v>3562</v>
      </c>
      <c r="K86" s="2">
        <v>2114</v>
      </c>
      <c r="L86" s="2">
        <f t="shared" si="6"/>
        <v>45856</v>
      </c>
      <c r="M86" s="2" t="s">
        <v>49</v>
      </c>
      <c r="N86" s="5" t="s">
        <v>3</v>
      </c>
      <c r="O86" s="21" t="str">
        <f t="shared" si="7"/>
        <v>DISCHARGED</v>
      </c>
      <c r="P86" s="21">
        <f t="shared" ca="1" si="8"/>
        <v>0</v>
      </c>
      <c r="Q86" s="21" t="str">
        <f t="shared" ca="1" si="9"/>
        <v>Fully_Paid</v>
      </c>
      <c r="R86" s="21" t="e">
        <f t="shared" ca="1" si="10"/>
        <v>#VALUE!</v>
      </c>
    </row>
    <row r="87" spans="1:18">
      <c r="A87" s="3" t="s">
        <v>278</v>
      </c>
      <c r="B87" s="4" t="s">
        <v>95</v>
      </c>
      <c r="C87" s="4" t="s">
        <v>44</v>
      </c>
      <c r="D87" s="4" t="s">
        <v>65</v>
      </c>
      <c r="E87" s="4" t="s">
        <v>8</v>
      </c>
      <c r="F87" s="4" t="s">
        <v>74</v>
      </c>
      <c r="G87" s="4" t="s">
        <v>279</v>
      </c>
      <c r="H87" s="4" t="s">
        <v>115</v>
      </c>
      <c r="I87" s="4">
        <v>25395</v>
      </c>
      <c r="J87" s="4">
        <v>9241</v>
      </c>
      <c r="K87" s="4">
        <v>9961</v>
      </c>
      <c r="L87" s="2">
        <f t="shared" si="6"/>
        <v>44597</v>
      </c>
      <c r="M87" s="4" t="s">
        <v>49</v>
      </c>
      <c r="N87" s="6" t="s">
        <v>4</v>
      </c>
      <c r="O87" s="21" t="str">
        <f t="shared" si="7"/>
        <v>DISCHARGED</v>
      </c>
      <c r="P87" s="21" t="e">
        <f t="shared" ca="1" si="8"/>
        <v>#VALUE!</v>
      </c>
      <c r="Q87" s="21" t="e">
        <f t="shared" ca="1" si="9"/>
        <v>#VALUE!</v>
      </c>
      <c r="R87" s="21" t="e">
        <f t="shared" ca="1" si="10"/>
        <v>#VALUE!</v>
      </c>
    </row>
    <row r="88" spans="1:18">
      <c r="A88" s="1" t="s">
        <v>280</v>
      </c>
      <c r="B88" s="2"/>
      <c r="C88" s="2"/>
      <c r="D88" s="2" t="s">
        <v>65</v>
      </c>
      <c r="E88" s="2"/>
      <c r="F88" s="2" t="s">
        <v>46</v>
      </c>
      <c r="G88" s="2" t="s">
        <v>175</v>
      </c>
      <c r="H88" s="2" t="s">
        <v>281</v>
      </c>
      <c r="I88" s="2">
        <v>8806</v>
      </c>
      <c r="J88" s="2">
        <v>3802</v>
      </c>
      <c r="K88" s="2">
        <v>12129</v>
      </c>
      <c r="L88" s="2">
        <f t="shared" si="6"/>
        <v>24737</v>
      </c>
      <c r="M88" s="2" t="s">
        <v>54</v>
      </c>
      <c r="N88" s="5" t="s">
        <v>3</v>
      </c>
      <c r="O88" s="21" t="str">
        <f t="shared" si="7"/>
        <v>DISCHARGED</v>
      </c>
      <c r="P88" s="21">
        <f t="shared" ca="1" si="8"/>
        <v>0</v>
      </c>
      <c r="Q88" s="21" t="str">
        <f t="shared" ca="1" si="9"/>
        <v>Fully_Paid</v>
      </c>
      <c r="R88" s="21" t="e">
        <f t="shared" ca="1" si="10"/>
        <v>#VALUE!</v>
      </c>
    </row>
    <row r="89" spans="1:18">
      <c r="A89" s="3" t="s">
        <v>282</v>
      </c>
      <c r="B89" s="4" t="s">
        <v>50</v>
      </c>
      <c r="C89" s="4">
        <v>77</v>
      </c>
      <c r="D89" s="4" t="s">
        <v>45</v>
      </c>
      <c r="E89" s="4" t="s">
        <v>10</v>
      </c>
      <c r="F89" s="4" t="s">
        <v>51</v>
      </c>
      <c r="G89" s="4" t="s">
        <v>283</v>
      </c>
      <c r="H89" s="4" t="s">
        <v>284</v>
      </c>
      <c r="I89" s="4">
        <v>31597</v>
      </c>
      <c r="J89" s="4">
        <v>5329</v>
      </c>
      <c r="K89" s="4">
        <v>10331</v>
      </c>
      <c r="L89" s="2">
        <f t="shared" si="6"/>
        <v>47257</v>
      </c>
      <c r="M89" s="4" t="s">
        <v>54</v>
      </c>
      <c r="N89" s="6" t="s">
        <v>3</v>
      </c>
      <c r="O89" s="21" t="str">
        <f t="shared" si="7"/>
        <v>DISCHARGED</v>
      </c>
      <c r="P89" s="21">
        <f t="shared" ca="1" si="8"/>
        <v>0</v>
      </c>
      <c r="Q89" s="21" t="str">
        <f t="shared" ca="1" si="9"/>
        <v>Fully_Paid</v>
      </c>
      <c r="R89" s="21" t="e">
        <f t="shared" ca="1" si="10"/>
        <v>#VALUE!</v>
      </c>
    </row>
    <row r="90" spans="1:18">
      <c r="A90" s="1" t="s">
        <v>285</v>
      </c>
      <c r="B90" s="2" t="s">
        <v>130</v>
      </c>
      <c r="C90" s="2">
        <v>53</v>
      </c>
      <c r="D90" s="2" t="s">
        <v>45</v>
      </c>
      <c r="E90" s="2" t="s">
        <v>10</v>
      </c>
      <c r="F90" s="2" t="s">
        <v>56</v>
      </c>
      <c r="G90" s="2" t="s">
        <v>233</v>
      </c>
      <c r="H90" s="2" t="s">
        <v>234</v>
      </c>
      <c r="I90" s="2">
        <v>49617</v>
      </c>
      <c r="J90" s="2">
        <v>3904</v>
      </c>
      <c r="K90" s="2">
        <v>11858</v>
      </c>
      <c r="L90" s="2">
        <f t="shared" si="6"/>
        <v>65379</v>
      </c>
      <c r="M90" s="2" t="s">
        <v>49</v>
      </c>
      <c r="N90" s="5" t="s">
        <v>4</v>
      </c>
      <c r="O90" s="21" t="str">
        <f t="shared" si="7"/>
        <v>DISCHARGED</v>
      </c>
      <c r="P90" s="21" t="e">
        <f t="shared" ca="1" si="8"/>
        <v>#VALUE!</v>
      </c>
      <c r="Q90" s="21" t="e">
        <f t="shared" ca="1" si="9"/>
        <v>#VALUE!</v>
      </c>
      <c r="R90" s="21" t="e">
        <f t="shared" ca="1" si="10"/>
        <v>#VALUE!</v>
      </c>
    </row>
    <row r="91" spans="1:18">
      <c r="A91" s="3" t="s">
        <v>286</v>
      </c>
      <c r="B91" s="4" t="s">
        <v>64</v>
      </c>
      <c r="C91" s="4"/>
      <c r="D91" s="4" t="s">
        <v>45</v>
      </c>
      <c r="E91" s="4" t="s">
        <v>7</v>
      </c>
      <c r="F91" s="4" t="s">
        <v>74</v>
      </c>
      <c r="G91" s="4" t="s">
        <v>175</v>
      </c>
      <c r="H91" s="4" t="s">
        <v>126</v>
      </c>
      <c r="I91" s="4">
        <v>22491</v>
      </c>
      <c r="J91" s="4">
        <v>4432</v>
      </c>
      <c r="K91" s="4">
        <v>10912</v>
      </c>
      <c r="L91" s="2">
        <f t="shared" si="6"/>
        <v>37835</v>
      </c>
      <c r="M91" s="4" t="s">
        <v>54</v>
      </c>
      <c r="N91" s="6" t="s">
        <v>4</v>
      </c>
      <c r="O91" s="21" t="str">
        <f t="shared" si="7"/>
        <v>DISCHARGED</v>
      </c>
      <c r="P91" s="21" t="e">
        <f t="shared" ca="1" si="8"/>
        <v>#VALUE!</v>
      </c>
      <c r="Q91" s="21" t="e">
        <f t="shared" ca="1" si="9"/>
        <v>#VALUE!</v>
      </c>
      <c r="R91" s="21" t="e">
        <f t="shared" ca="1" si="10"/>
        <v>#VALUE!</v>
      </c>
    </row>
    <row r="92" spans="1:18">
      <c r="A92" s="1" t="s">
        <v>287</v>
      </c>
      <c r="B92" s="2" t="s">
        <v>50</v>
      </c>
      <c r="C92" s="2">
        <v>50</v>
      </c>
      <c r="D92" s="2" t="s">
        <v>45</v>
      </c>
      <c r="E92" s="2" t="s">
        <v>8</v>
      </c>
      <c r="F92" s="2" t="s">
        <v>56</v>
      </c>
      <c r="G92" s="2" t="s">
        <v>288</v>
      </c>
      <c r="H92" s="2" t="s">
        <v>289</v>
      </c>
      <c r="I92" s="2">
        <v>27481</v>
      </c>
      <c r="J92" s="2">
        <v>4486</v>
      </c>
      <c r="K92" s="2">
        <v>6227</v>
      </c>
      <c r="L92" s="2">
        <f t="shared" si="6"/>
        <v>38194</v>
      </c>
      <c r="M92" s="2" t="s">
        <v>54</v>
      </c>
      <c r="N92" s="5" t="s">
        <v>3</v>
      </c>
      <c r="O92" s="21" t="str">
        <f t="shared" si="7"/>
        <v>DISCHARGED</v>
      </c>
      <c r="P92" s="21">
        <f t="shared" ca="1" si="8"/>
        <v>0</v>
      </c>
      <c r="Q92" s="21" t="str">
        <f t="shared" ca="1" si="9"/>
        <v>Fully_Paid</v>
      </c>
      <c r="R92" s="21" t="e">
        <f t="shared" ca="1" si="10"/>
        <v>#VALUE!</v>
      </c>
    </row>
    <row r="93" spans="1:18">
      <c r="A93" s="3" t="s">
        <v>290</v>
      </c>
      <c r="B93" s="4" t="s">
        <v>95</v>
      </c>
      <c r="C93" s="4">
        <v>22</v>
      </c>
      <c r="D93" s="4" t="s">
        <v>65</v>
      </c>
      <c r="E93" s="4" t="s">
        <v>6</v>
      </c>
      <c r="F93" s="4" t="s">
        <v>70</v>
      </c>
      <c r="G93" s="4" t="s">
        <v>291</v>
      </c>
      <c r="H93" s="4" t="s">
        <v>58</v>
      </c>
      <c r="I93" s="4">
        <v>34730</v>
      </c>
      <c r="J93" s="4">
        <v>9705</v>
      </c>
      <c r="K93" s="4">
        <v>12862</v>
      </c>
      <c r="L93" s="2">
        <f t="shared" si="6"/>
        <v>57297</v>
      </c>
      <c r="M93" s="4" t="s">
        <v>54</v>
      </c>
      <c r="N93" s="6" t="s">
        <v>4</v>
      </c>
      <c r="O93" s="21" t="str">
        <f t="shared" si="7"/>
        <v>DISCHARGED</v>
      </c>
      <c r="P93" s="21" t="e">
        <f t="shared" ca="1" si="8"/>
        <v>#VALUE!</v>
      </c>
      <c r="Q93" s="21" t="e">
        <f t="shared" ca="1" si="9"/>
        <v>#VALUE!</v>
      </c>
      <c r="R93" s="21" t="e">
        <f t="shared" ca="1" si="10"/>
        <v>#VALUE!</v>
      </c>
    </row>
    <row r="94" spans="1:18">
      <c r="A94" s="1" t="s">
        <v>292</v>
      </c>
      <c r="B94" s="2" t="s">
        <v>112</v>
      </c>
      <c r="C94" s="2" t="s">
        <v>44</v>
      </c>
      <c r="D94" s="2" t="s">
        <v>45</v>
      </c>
      <c r="E94" s="2" t="s">
        <v>6</v>
      </c>
      <c r="F94" s="2" t="s">
        <v>74</v>
      </c>
      <c r="G94" s="2" t="s">
        <v>253</v>
      </c>
      <c r="H94" s="2" t="s">
        <v>293</v>
      </c>
      <c r="I94" s="2">
        <v>45427</v>
      </c>
      <c r="J94" s="2">
        <v>4758</v>
      </c>
      <c r="K94" s="2" t="s">
        <v>104</v>
      </c>
      <c r="L94" s="2">
        <f t="shared" si="6"/>
        <v>50185</v>
      </c>
      <c r="M94" s="2" t="s">
        <v>49</v>
      </c>
      <c r="N94" s="5"/>
      <c r="O94" s="21" t="str">
        <f t="shared" si="7"/>
        <v>DISCHARGED</v>
      </c>
      <c r="P94" s="21">
        <f t="shared" ca="1" si="8"/>
        <v>0</v>
      </c>
      <c r="Q94" s="21" t="str">
        <f t="shared" ca="1" si="9"/>
        <v>Fully_Paid</v>
      </c>
      <c r="R94" s="21" t="e">
        <f t="shared" ca="1" si="10"/>
        <v>#VALUE!</v>
      </c>
    </row>
    <row r="95" spans="1:18">
      <c r="A95" s="3"/>
      <c r="B95" s="4" t="s">
        <v>184</v>
      </c>
      <c r="C95" s="4" t="s">
        <v>44</v>
      </c>
      <c r="D95" s="4" t="s">
        <v>65</v>
      </c>
      <c r="E95" s="4" t="s">
        <v>7</v>
      </c>
      <c r="F95" s="4" t="s">
        <v>46</v>
      </c>
      <c r="G95" s="4" t="s">
        <v>294</v>
      </c>
      <c r="H95" s="4" t="s">
        <v>295</v>
      </c>
      <c r="I95" s="4">
        <v>7923</v>
      </c>
      <c r="J95" s="4">
        <v>4649</v>
      </c>
      <c r="K95" s="4">
        <v>8268</v>
      </c>
      <c r="L95" s="2">
        <f t="shared" si="6"/>
        <v>20840</v>
      </c>
      <c r="M95" s="4" t="s">
        <v>49</v>
      </c>
      <c r="N95" s="6" t="s">
        <v>3</v>
      </c>
      <c r="O95" s="21" t="str">
        <f t="shared" si="7"/>
        <v>DISCHARGED</v>
      </c>
      <c r="P95" s="21">
        <f t="shared" ca="1" si="8"/>
        <v>0</v>
      </c>
      <c r="Q95" s="21" t="str">
        <f t="shared" ca="1" si="9"/>
        <v>Fully_Paid</v>
      </c>
      <c r="R95" s="21" t="e">
        <f t="shared" ca="1" si="10"/>
        <v>#VALUE!</v>
      </c>
    </row>
    <row r="96" spans="1:18">
      <c r="A96" s="1" t="s">
        <v>296</v>
      </c>
      <c r="B96" s="2" t="s">
        <v>73</v>
      </c>
      <c r="C96" s="2" t="s">
        <v>44</v>
      </c>
      <c r="D96" s="2" t="s">
        <v>45</v>
      </c>
      <c r="E96" s="2" t="s">
        <v>8</v>
      </c>
      <c r="F96" s="2" t="s">
        <v>70</v>
      </c>
      <c r="G96" s="2" t="s">
        <v>297</v>
      </c>
      <c r="H96" s="2" t="s">
        <v>90</v>
      </c>
      <c r="I96" s="2">
        <v>33989</v>
      </c>
      <c r="J96" s="2">
        <v>2314</v>
      </c>
      <c r="K96" s="2">
        <v>14417</v>
      </c>
      <c r="L96" s="2">
        <f t="shared" si="6"/>
        <v>50720</v>
      </c>
      <c r="M96" s="2" t="s">
        <v>49</v>
      </c>
      <c r="N96" s="5" t="s">
        <v>3</v>
      </c>
      <c r="O96" s="21" t="str">
        <f t="shared" si="7"/>
        <v>DISCHARGED</v>
      </c>
      <c r="P96" s="21">
        <f t="shared" ca="1" si="8"/>
        <v>0</v>
      </c>
      <c r="Q96" s="21" t="str">
        <f t="shared" ca="1" si="9"/>
        <v>Fully_Paid</v>
      </c>
      <c r="R96" s="21" t="e">
        <f t="shared" ca="1" si="10"/>
        <v>#VALUE!</v>
      </c>
    </row>
    <row r="97" spans="1:18">
      <c r="A97" s="3" t="s">
        <v>298</v>
      </c>
      <c r="B97" s="4" t="s">
        <v>60</v>
      </c>
      <c r="C97" s="4">
        <v>78</v>
      </c>
      <c r="D97" s="4"/>
      <c r="E97" s="4" t="s">
        <v>10</v>
      </c>
      <c r="F97" s="4" t="s">
        <v>74</v>
      </c>
      <c r="G97" s="4" t="s">
        <v>299</v>
      </c>
      <c r="H97" s="4" t="s">
        <v>300</v>
      </c>
      <c r="I97" s="4" t="s">
        <v>104</v>
      </c>
      <c r="J97" s="4">
        <v>3749</v>
      </c>
      <c r="K97" s="4">
        <v>4614</v>
      </c>
      <c r="L97" s="2">
        <f t="shared" si="6"/>
        <v>8363</v>
      </c>
      <c r="M97" s="4"/>
      <c r="N97" s="6" t="s">
        <v>3</v>
      </c>
      <c r="O97" s="21" t="str">
        <f t="shared" si="7"/>
        <v>DISCHARGED</v>
      </c>
      <c r="P97" s="21">
        <f t="shared" ca="1" si="8"/>
        <v>0</v>
      </c>
      <c r="Q97" s="21" t="str">
        <f t="shared" ca="1" si="9"/>
        <v>Fully_Paid</v>
      </c>
      <c r="R97" s="21" t="e">
        <f t="shared" ca="1" si="10"/>
        <v>#VALUE!</v>
      </c>
    </row>
    <row r="98" spans="1:18">
      <c r="A98" s="1" t="s">
        <v>301</v>
      </c>
      <c r="B98" s="2" t="s">
        <v>64</v>
      </c>
      <c r="C98" s="2" t="s">
        <v>44</v>
      </c>
      <c r="D98" s="2" t="s">
        <v>45</v>
      </c>
      <c r="E98" s="2" t="s">
        <v>6</v>
      </c>
      <c r="F98" s="2"/>
      <c r="G98" s="2" t="s">
        <v>152</v>
      </c>
      <c r="H98" s="2" t="s">
        <v>302</v>
      </c>
      <c r="I98" s="2">
        <v>20684</v>
      </c>
      <c r="J98" s="2">
        <v>9802</v>
      </c>
      <c r="K98" s="2">
        <v>7462</v>
      </c>
      <c r="L98" s="2">
        <f t="shared" ref="L98:L100" si="11">SUM(I98,J98,K98)</f>
        <v>37948</v>
      </c>
      <c r="M98" s="2" t="s">
        <v>54</v>
      </c>
      <c r="N98" s="5" t="s">
        <v>3</v>
      </c>
      <c r="O98" s="21" t="str">
        <f t="shared" si="7"/>
        <v>DISCHARGED</v>
      </c>
      <c r="P98" s="21">
        <f t="shared" ca="1" si="8"/>
        <v>0</v>
      </c>
      <c r="Q98" s="21" t="str">
        <f t="shared" ca="1" si="9"/>
        <v>Fully_Paid</v>
      </c>
      <c r="R98" s="21">
        <f t="shared" ca="1" si="10"/>
        <v>31</v>
      </c>
    </row>
    <row r="99" spans="1:18">
      <c r="A99" s="3" t="s">
        <v>303</v>
      </c>
      <c r="B99" s="4"/>
      <c r="C99" s="4">
        <v>67</v>
      </c>
      <c r="D99" s="4" t="s">
        <v>45</v>
      </c>
      <c r="E99" s="4" t="s">
        <v>7</v>
      </c>
      <c r="F99" s="4" t="s">
        <v>56</v>
      </c>
      <c r="G99" s="4" t="s">
        <v>92</v>
      </c>
      <c r="H99" s="4"/>
      <c r="I99" s="4">
        <v>23326</v>
      </c>
      <c r="J99" s="4">
        <v>1950</v>
      </c>
      <c r="K99" s="4">
        <v>6345</v>
      </c>
      <c r="L99" s="2">
        <f t="shared" si="11"/>
        <v>31621</v>
      </c>
      <c r="M99" s="4" t="s">
        <v>54</v>
      </c>
      <c r="N99" s="6" t="s">
        <v>4</v>
      </c>
      <c r="O99" s="21" t="str">
        <f t="shared" si="7"/>
        <v>CURRENTLY ADMITTED</v>
      </c>
      <c r="P99" s="21" t="e">
        <f t="shared" ca="1" si="8"/>
        <v>#VALUE!</v>
      </c>
      <c r="Q99" s="21" t="e">
        <f t="shared" ca="1" si="9"/>
        <v>#VALUE!</v>
      </c>
      <c r="R99" s="21" t="e">
        <f t="shared" ca="1" si="10"/>
        <v>#VALUE!</v>
      </c>
    </row>
    <row r="100" spans="1:18">
      <c r="A100" s="1" t="s">
        <v>304</v>
      </c>
      <c r="B100" s="2" t="s">
        <v>64</v>
      </c>
      <c r="C100" s="2"/>
      <c r="D100" s="2" t="s">
        <v>45</v>
      </c>
      <c r="E100" s="2" t="s">
        <v>7</v>
      </c>
      <c r="F100" s="2" t="s">
        <v>70</v>
      </c>
      <c r="G100" s="2" t="s">
        <v>103</v>
      </c>
      <c r="H100" s="2" t="s">
        <v>305</v>
      </c>
      <c r="I100" s="2">
        <v>40263</v>
      </c>
      <c r="J100" s="2">
        <v>4051</v>
      </c>
      <c r="K100" s="2">
        <v>5357</v>
      </c>
      <c r="L100" s="2">
        <f t="shared" si="11"/>
        <v>49671</v>
      </c>
      <c r="M100" s="2" t="s">
        <v>49</v>
      </c>
      <c r="N100" s="5" t="s">
        <v>4</v>
      </c>
      <c r="O100" s="21" t="str">
        <f t="shared" si="7"/>
        <v>DISCHARGED</v>
      </c>
      <c r="P100" s="21" t="e">
        <f t="shared" ca="1" si="8"/>
        <v>#VALUE!</v>
      </c>
      <c r="Q100" s="21" t="e">
        <f t="shared" ca="1" si="9"/>
        <v>#VALUE!</v>
      </c>
      <c r="R100" s="21" t="e">
        <f t="shared" ca="1" si="10"/>
        <v>#VALUE!</v>
      </c>
    </row>
    <row r="101" spans="1:18">
      <c r="A101" s="21"/>
      <c r="B101" s="21"/>
      <c r="C101" s="21"/>
      <c r="D101" s="21"/>
      <c r="E101" s="21"/>
      <c r="F101" s="21"/>
      <c r="G101" s="21"/>
      <c r="H101" s="21"/>
      <c r="I101" s="21"/>
      <c r="J101" s="21"/>
      <c r="K101" s="21"/>
      <c r="L101" s="21"/>
      <c r="M101" s="21"/>
      <c r="N101" s="21"/>
      <c r="O101" s="21"/>
      <c r="P101" s="21" t="s">
        <v>306</v>
      </c>
      <c r="Q101" s="21"/>
      <c r="R101" s="21"/>
    </row>
    <row r="116" spans="16:16">
      <c r="P116" s="21" t="s">
        <v>306</v>
      </c>
    </row>
    <row r="117" spans="16:16">
      <c r="P117" s="21" t="s">
        <v>104</v>
      </c>
    </row>
    <row r="118" spans="16:16">
      <c r="P118" s="21" t="s">
        <v>104</v>
      </c>
    </row>
  </sheetData>
  <mergeCells count="1">
    <mergeCell ref="T3:V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949D3-68B3-4D46-A674-1D3C92FB3B79}">
  <dimension ref="A3:B10"/>
  <sheetViews>
    <sheetView workbookViewId="0">
      <selection activeCell="C17" sqref="C17"/>
    </sheetView>
  </sheetViews>
  <sheetFormatPr defaultRowHeight="14.45"/>
  <cols>
    <col min="1" max="1" width="12.42578125" bestFit="1" customWidth="1"/>
    <col min="2" max="2" width="13.42578125" bestFit="1" customWidth="1"/>
  </cols>
  <sheetData>
    <row r="3" spans="1:2">
      <c r="A3" s="8" t="s">
        <v>2</v>
      </c>
      <c r="B3" s="21" t="s">
        <v>307</v>
      </c>
    </row>
    <row r="4" spans="1:2">
      <c r="A4" s="7" t="s">
        <v>308</v>
      </c>
      <c r="B4" s="11">
        <v>62.75</v>
      </c>
    </row>
    <row r="5" spans="1:2">
      <c r="A5" s="7" t="s">
        <v>6</v>
      </c>
      <c r="B5" s="11">
        <v>34.470588235294116</v>
      </c>
    </row>
    <row r="6" spans="1:2">
      <c r="A6" s="7" t="s">
        <v>7</v>
      </c>
      <c r="B6" s="11">
        <v>19.041666666666668</v>
      </c>
    </row>
    <row r="7" spans="1:2">
      <c r="A7" s="7" t="s">
        <v>8</v>
      </c>
      <c r="B7" s="11">
        <v>20.263157894736842</v>
      </c>
    </row>
    <row r="8" spans="1:2">
      <c r="A8" s="7" t="s">
        <v>9</v>
      </c>
      <c r="B8" s="11">
        <v>55.1875</v>
      </c>
    </row>
    <row r="9" spans="1:2">
      <c r="A9" s="7" t="s">
        <v>10</v>
      </c>
      <c r="B9" s="11">
        <v>6.4210526315789478</v>
      </c>
    </row>
    <row r="10" spans="1:2">
      <c r="A10" s="7" t="s">
        <v>5</v>
      </c>
      <c r="B10" s="11">
        <v>27.111111111111111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9BBE9-7125-446A-876A-36A9397E83F5}">
  <dimension ref="A1:B13"/>
  <sheetViews>
    <sheetView showGridLines="0" workbookViewId="0">
      <selection sqref="A1:B3"/>
    </sheetView>
  </sheetViews>
  <sheetFormatPr defaultRowHeight="14.45"/>
  <cols>
    <col min="1" max="1" width="18" customWidth="1"/>
    <col min="2" max="2" width="66.5703125" customWidth="1"/>
  </cols>
  <sheetData>
    <row r="1" spans="1:2">
      <c r="A1" s="26" t="s">
        <v>309</v>
      </c>
      <c r="B1" s="24"/>
    </row>
    <row r="2" spans="1:2">
      <c r="A2" s="24"/>
      <c r="B2" s="24"/>
    </row>
    <row r="3" spans="1:2">
      <c r="A3" s="31"/>
      <c r="B3" s="31"/>
    </row>
    <row r="4" spans="1:2">
      <c r="A4" s="14" t="s">
        <v>27</v>
      </c>
      <c r="B4" s="14"/>
    </row>
    <row r="5" spans="1:2">
      <c r="A5" s="14" t="s">
        <v>28</v>
      </c>
      <c r="B5" s="14"/>
    </row>
    <row r="6" spans="1:2">
      <c r="A6" s="14" t="s">
        <v>22</v>
      </c>
      <c r="B6" s="14"/>
    </row>
    <row r="7" spans="1:2">
      <c r="A7" s="14" t="s">
        <v>23</v>
      </c>
      <c r="B7" s="14"/>
    </row>
    <row r="8" spans="1:2">
      <c r="A8" s="14" t="s">
        <v>29</v>
      </c>
      <c r="B8" s="14"/>
    </row>
    <row r="9" spans="1:2">
      <c r="A9" s="14" t="s">
        <v>310</v>
      </c>
      <c r="B9" s="14"/>
    </row>
    <row r="10" spans="1:2">
      <c r="A10" s="14" t="s">
        <v>31</v>
      </c>
      <c r="B10" s="15"/>
    </row>
    <row r="11" spans="1:2">
      <c r="A11" s="14" t="s">
        <v>36</v>
      </c>
      <c r="B11" s="14"/>
    </row>
    <row r="12" spans="1:2">
      <c r="A12" s="14" t="s">
        <v>37</v>
      </c>
      <c r="B12" s="14"/>
    </row>
    <row r="13" spans="1:2">
      <c r="A13" s="14" t="s">
        <v>12</v>
      </c>
      <c r="B13" s="14"/>
    </row>
  </sheetData>
  <mergeCells count="1">
    <mergeCell ref="A1:B3"/>
  </mergeCells>
  <dataValidations count="4">
    <dataValidation type="list" allowBlank="1" showInputMessage="1" showErrorMessage="1" sqref="B7" xr:uid="{9AB0D1E6-42A6-414D-9DD6-A6F3FE190DDC}">
      <formula1>"Male, Female, Other"</formula1>
    </dataValidation>
    <dataValidation type="list" allowBlank="1" showInputMessage="1" showErrorMessage="1" sqref="B12" xr:uid="{BF0DB37C-D656-41FC-B5F2-6268409CBB53}">
      <formula1>"Yes, No"</formula1>
    </dataValidation>
    <dataValidation type="list" allowBlank="1" showInputMessage="1" showErrorMessage="1" sqref="B13" xr:uid="{C9935DC1-929F-46FC-B0E8-900F86CB664B}">
      <formula1>"Pending, Paid"</formula1>
    </dataValidation>
    <dataValidation type="list" allowBlank="1" showInputMessage="1" showErrorMessage="1" sqref="B8" xr:uid="{1E3DC679-FC6F-4544-91EF-6AA0B82BFE4D}">
      <formula1>"Neurology, Cardiology, Pediatrics, General, Orthopedics"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insert_data">
                <anchor moveWithCells="1" sizeWithCells="1">
                  <from>
                    <xdr:col>0</xdr:col>
                    <xdr:colOff>171450</xdr:colOff>
                    <xdr:row>13</xdr:row>
                    <xdr:rowOff>12700</xdr:rowOff>
                  </from>
                  <to>
                    <xdr:col>1</xdr:col>
                    <xdr:colOff>628650</xdr:colOff>
                    <xdr:row>14</xdr:row>
                    <xdr:rowOff>165100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0E98C-87F9-460D-B943-07AF3E3B1CE4}">
  <dimension ref="A1:J13"/>
  <sheetViews>
    <sheetView workbookViewId="0">
      <selection sqref="A1:J3"/>
    </sheetView>
  </sheetViews>
  <sheetFormatPr defaultRowHeight="14.45"/>
  <cols>
    <col min="1" max="1" width="17.85546875" customWidth="1"/>
    <col min="2" max="2" width="30.42578125" customWidth="1"/>
  </cols>
  <sheetData>
    <row r="1" spans="1:10" ht="14.45" customHeight="1">
      <c r="A1" s="26" t="s">
        <v>309</v>
      </c>
      <c r="B1" s="26"/>
      <c r="C1" s="26"/>
      <c r="D1" s="26"/>
      <c r="E1" s="26"/>
      <c r="F1" s="26"/>
      <c r="G1" s="26"/>
      <c r="H1" s="26"/>
      <c r="I1" s="26"/>
      <c r="J1" s="26"/>
    </row>
    <row r="2" spans="1:10">
      <c r="A2" s="26"/>
      <c r="B2" s="26"/>
      <c r="C2" s="26"/>
      <c r="D2" s="26"/>
      <c r="E2" s="26"/>
      <c r="F2" s="26"/>
      <c r="G2" s="26"/>
      <c r="H2" s="26"/>
      <c r="I2" s="26"/>
      <c r="J2" s="26"/>
    </row>
    <row r="3" spans="1:10">
      <c r="A3" s="33"/>
      <c r="B3" s="33"/>
      <c r="C3" s="33"/>
      <c r="D3" s="33"/>
      <c r="E3" s="33"/>
      <c r="F3" s="33"/>
      <c r="G3" s="33"/>
      <c r="H3" s="33"/>
      <c r="I3" s="33"/>
      <c r="J3" s="33"/>
    </row>
    <row r="4" spans="1:10">
      <c r="A4" s="14" t="s">
        <v>27</v>
      </c>
      <c r="B4" s="14" t="s">
        <v>28</v>
      </c>
      <c r="C4" s="14" t="s">
        <v>22</v>
      </c>
      <c r="D4" s="14" t="s">
        <v>23</v>
      </c>
      <c r="E4" s="14" t="s">
        <v>29</v>
      </c>
      <c r="F4" s="14" t="s">
        <v>310</v>
      </c>
      <c r="G4" s="14" t="s">
        <v>31</v>
      </c>
      <c r="H4" s="14" t="s">
        <v>36</v>
      </c>
      <c r="I4" s="14" t="s">
        <v>37</v>
      </c>
      <c r="J4" s="14" t="s">
        <v>12</v>
      </c>
    </row>
    <row r="5" spans="1:10">
      <c r="A5" s="14">
        <v>4657</v>
      </c>
      <c r="B5" s="14" t="s">
        <v>311</v>
      </c>
      <c r="C5" s="14">
        <v>45</v>
      </c>
      <c r="D5" s="14" t="s">
        <v>312</v>
      </c>
      <c r="E5" s="14" t="s">
        <v>10</v>
      </c>
      <c r="F5" s="14"/>
      <c r="G5" s="15"/>
      <c r="H5" s="14">
        <v>2999</v>
      </c>
      <c r="I5" s="14" t="s">
        <v>49</v>
      </c>
      <c r="J5" s="14" t="s">
        <v>4</v>
      </c>
    </row>
    <row r="6" spans="1:10">
      <c r="A6" s="14">
        <v>10</v>
      </c>
      <c r="B6" s="14" t="s">
        <v>313</v>
      </c>
      <c r="C6" s="14">
        <v>12</v>
      </c>
      <c r="D6" s="14" t="s">
        <v>45</v>
      </c>
      <c r="E6" s="14" t="s">
        <v>10</v>
      </c>
      <c r="F6" s="14"/>
      <c r="G6" s="15"/>
      <c r="H6" s="14">
        <v>1234</v>
      </c>
      <c r="I6" s="14" t="s">
        <v>49</v>
      </c>
      <c r="J6" s="14" t="s">
        <v>4</v>
      </c>
    </row>
    <row r="7" spans="1:10">
      <c r="A7" s="14"/>
      <c r="B7" s="14"/>
      <c r="C7" s="14"/>
      <c r="D7" s="14"/>
      <c r="E7" s="14"/>
      <c r="F7" s="14"/>
      <c r="G7" s="15"/>
      <c r="H7" s="14"/>
      <c r="I7" s="14"/>
      <c r="J7" s="14"/>
    </row>
    <row r="8" spans="1:10">
      <c r="A8" s="14"/>
      <c r="B8" s="14"/>
      <c r="C8" s="14"/>
      <c r="D8" s="14"/>
      <c r="E8" s="14"/>
      <c r="F8" s="14"/>
      <c r="G8" s="15"/>
      <c r="H8" s="14"/>
      <c r="I8" s="14"/>
      <c r="J8" s="14"/>
    </row>
    <row r="9" spans="1:10">
      <c r="A9" s="14"/>
      <c r="B9" s="14"/>
      <c r="C9" s="14"/>
      <c r="D9" s="14"/>
      <c r="E9" s="14"/>
      <c r="F9" s="14"/>
      <c r="G9" s="15"/>
      <c r="H9" s="14"/>
      <c r="I9" s="14"/>
      <c r="J9" s="14"/>
    </row>
    <row r="10" spans="1:10">
      <c r="A10" s="14"/>
      <c r="B10" s="14"/>
      <c r="C10" s="14"/>
      <c r="D10" s="14"/>
      <c r="E10" s="14"/>
      <c r="F10" s="14"/>
      <c r="G10" s="15"/>
      <c r="H10" s="14"/>
      <c r="I10" s="14"/>
      <c r="J10" s="14"/>
    </row>
    <row r="11" spans="1:10">
      <c r="A11" s="14"/>
      <c r="B11" s="14"/>
      <c r="C11" s="14"/>
      <c r="D11" s="14"/>
      <c r="E11" s="14"/>
      <c r="F11" s="14"/>
      <c r="G11" s="15"/>
      <c r="H11" s="14"/>
      <c r="I11" s="14"/>
      <c r="J11" s="14"/>
    </row>
    <row r="12" spans="1:10">
      <c r="A12" s="14"/>
      <c r="B12" s="14"/>
      <c r="C12" s="14"/>
      <c r="D12" s="14"/>
      <c r="E12" s="14"/>
      <c r="F12" s="14"/>
      <c r="G12" s="15"/>
      <c r="H12" s="14"/>
      <c r="I12" s="14"/>
      <c r="J12" s="14"/>
    </row>
    <row r="13" spans="1:10">
      <c r="A13" s="14"/>
      <c r="B13" s="14"/>
      <c r="C13" s="14"/>
      <c r="D13" s="14"/>
      <c r="E13" s="14"/>
      <c r="F13" s="14"/>
      <c r="G13" s="15"/>
      <c r="H13" s="14"/>
      <c r="I13" s="14"/>
      <c r="J13" s="14"/>
    </row>
  </sheetData>
  <mergeCells count="1">
    <mergeCell ref="A1:J3"/>
  </mergeCells>
  <dataValidations count="4">
    <dataValidation type="list" allowBlank="1" showInputMessage="1" showErrorMessage="1" sqref="E5:E13" xr:uid="{3957D4E5-24F6-459C-A5DF-AF39D4F55EC1}">
      <formula1>"Neurology, Cardiology, Pediatrics, General, Orthopedics"</formula1>
    </dataValidation>
    <dataValidation type="list" allowBlank="1" showInputMessage="1" showErrorMessage="1" sqref="J5:J13" xr:uid="{108DFBC9-BEF9-43A0-9D57-41B145FE645D}">
      <formula1>"Pending, Paid"</formula1>
    </dataValidation>
    <dataValidation type="list" allowBlank="1" showInputMessage="1" showErrorMessage="1" sqref="I5:I13" xr:uid="{37A43733-DBFD-43E9-96D6-F4AAA37F145F}">
      <formula1>"Yes, No"</formula1>
    </dataValidation>
    <dataValidation type="list" allowBlank="1" showInputMessage="1" showErrorMessage="1" sqref="D5:D13" xr:uid="{1B84568B-4F45-44A6-8FC8-B2705BE625F5}">
      <formula1>"Male, Female, Other"</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1FDAD-5BA1-41E4-9468-DAAF01C0AB5C}">
  <dimension ref="A1:Q100"/>
  <sheetViews>
    <sheetView workbookViewId="0"/>
  </sheetViews>
  <sheetFormatPr defaultRowHeight="14.45"/>
  <cols>
    <col min="2" max="2" width="10.140625" bestFit="1" customWidth="1"/>
    <col min="5" max="5" width="12.42578125" bestFit="1" customWidth="1"/>
    <col min="6" max="6" width="10.140625" bestFit="1" customWidth="1"/>
    <col min="7" max="7" width="12" style="18" bestFit="1" customWidth="1"/>
    <col min="8" max="8" width="16" bestFit="1" customWidth="1"/>
    <col min="10" max="10" width="10.42578125" bestFit="1" customWidth="1"/>
    <col min="11" max="11" width="10.140625" bestFit="1" customWidth="1"/>
    <col min="13" max="13" width="17.42578125" bestFit="1" customWidth="1"/>
    <col min="14" max="14" width="8.7109375" style="10"/>
  </cols>
  <sheetData>
    <row r="1" spans="1:17">
      <c r="A1" s="21" t="s">
        <v>27</v>
      </c>
      <c r="B1" s="21" t="s">
        <v>28</v>
      </c>
      <c r="C1" s="21" t="s">
        <v>22</v>
      </c>
      <c r="D1" s="21" t="s">
        <v>23</v>
      </c>
      <c r="E1" s="21" t="s">
        <v>29</v>
      </c>
      <c r="F1" s="21" t="s">
        <v>310</v>
      </c>
      <c r="G1" s="20" t="s">
        <v>31</v>
      </c>
      <c r="H1" s="21" t="s">
        <v>32</v>
      </c>
      <c r="I1" s="21" t="s">
        <v>36</v>
      </c>
      <c r="J1" s="21" t="s">
        <v>37</v>
      </c>
      <c r="K1" s="21" t="s">
        <v>12</v>
      </c>
      <c r="L1" s="21" t="s">
        <v>314</v>
      </c>
      <c r="M1" s="21" t="s">
        <v>315</v>
      </c>
      <c r="N1" s="10" t="s">
        <v>41</v>
      </c>
      <c r="O1" s="21"/>
      <c r="P1" s="21"/>
      <c r="Q1" s="21"/>
    </row>
    <row r="2" spans="1:17">
      <c r="A2" s="21" t="str">
        <f>IF(COUNTBLANK(RAW_DATA!A2)=0,RAW_DATA!A2,"UNKNOWN")</f>
        <v>P1002</v>
      </c>
      <c r="B2" s="21" t="str">
        <f>IF(COUNTBLANK(RAW_DATA!B2)=0,RAW_DATA!B2,"UNKNOWN")</f>
        <v>Rahul</v>
      </c>
      <c r="C2" s="7" t="str">
        <f>IF(COUNTBLANK(RAW_DATA!C2)=0,RAW_DATA!C2,"N/A")</f>
        <v>N/A</v>
      </c>
      <c r="D2" s="21" t="str">
        <f>IF(COUNTBLANK(RAW_DATA!D2)=0,RAW_DATA!D2,"UNKNOWN")</f>
        <v>Male</v>
      </c>
      <c r="E2" s="21" t="str">
        <f>IF(COUNTBLANK(RAW_DATA!E2)=0,RAW_DATA!E2,"UNKNOWN")</f>
        <v>Neurology</v>
      </c>
      <c r="F2" s="21" t="str">
        <f>IF(COUNTBLANK(RAW_DATA!F2)=0,RAW_DATA!F2,"UNKNOWN")</f>
        <v>Dr. Ghosh</v>
      </c>
      <c r="G2" s="20" t="str">
        <f>IF(COUNTBLANK(RAW_DATA!G2)=0,RAW_DATA!G2,"UNKNOWN")</f>
        <v>24-06-2025</v>
      </c>
      <c r="H2" s="21" t="str">
        <f>IF(COUNTBLANK(RAW_DATA!H2)=0,RAW_DATA!H2,"UNKNOWN")</f>
        <v>28-06-2025</v>
      </c>
      <c r="I2" s="21">
        <f>IF(COUNTBLANK(RAW_DATA!L2)=0,RAW_DATA!L2,0)</f>
        <v>23786</v>
      </c>
      <c r="J2" s="21" t="str">
        <f>IF(COUNTBLANK(RAW_DATA!M2)=0,RAW_DATA!M2,"UNKNOWN")</f>
        <v>No</v>
      </c>
      <c r="K2" s="21" t="str">
        <f>IF(COUNTBLANK(RAW_DATA!N2)=0,RAW_DATA!N2,"UNKNOWN")</f>
        <v>Pending</v>
      </c>
      <c r="L2" s="21" t="e">
        <f ca="1">IF(K2="Pending", IF(OR(H2=" ",V2="UNKNOWN",NOT(ISNUMBER(H2))), TODAY( )-INT(G2),TODAY( )-INT(H2)),0)</f>
        <v>#VALUE!</v>
      </c>
      <c r="M2" s="21" t="e">
        <f ca="1">IF(L2=0,"FULLY_PAID",IF(L2&lt;=30, "1-30 DAYS OVERDUE", IF(L2&lt;=60,"31-60 DAYS OVERDUE","61+ DAYS OVERDUE")))</f>
        <v>#VALUE!</v>
      </c>
      <c r="N2" s="10" t="e">
        <f ca="1">IF(OR(H2=" ",H2="UNKNOWN"),TODAY()-G2,INT(H2)-INT(G2))</f>
        <v>#VALUE!</v>
      </c>
      <c r="O2" s="21"/>
      <c r="P2" s="21"/>
      <c r="Q2" s="21"/>
    </row>
    <row r="3" spans="1:17">
      <c r="A3" s="21" t="str">
        <f>IF(COUNTBLANK(RAW_DATA!A3)=0,RAW_DATA!A3,"UNKNOWN")</f>
        <v>P1003</v>
      </c>
      <c r="B3" s="21" t="str">
        <f>IF(COUNTBLANK(RAW_DATA!B3)=0,RAW_DATA!B3,"UNKNOWN")</f>
        <v>Kiran</v>
      </c>
      <c r="C3" s="7" t="str">
        <f>IF(COUNTBLANK(RAW_DATA!C3)=0,RAW_DATA!C3,"N/A")</f>
        <v>N/A</v>
      </c>
      <c r="D3" s="21" t="str">
        <f>IF(COUNTBLANK(RAW_DATA!D3)=0,RAW_DATA!D3,"UNKNOWN")</f>
        <v>Male</v>
      </c>
      <c r="E3" s="21" t="str">
        <f>IF(COUNTBLANK(RAW_DATA!E3)=0,RAW_DATA!E3,"UNKNOWN")</f>
        <v>Neurology</v>
      </c>
      <c r="F3" s="21" t="str">
        <f>IF(COUNTBLANK(RAW_DATA!F3)=0,RAW_DATA!F3,"UNKNOWN")</f>
        <v>Dr. Sen</v>
      </c>
      <c r="G3" s="20" t="str">
        <f>IF(COUNTBLANK(RAW_DATA!G3)=0,RAW_DATA!G3,"UNKNOWN")</f>
        <v>03-05-2025</v>
      </c>
      <c r="H3" s="21" t="str">
        <f>IF(COUNTBLANK(RAW_DATA!H3)=0,RAW_DATA!H3,"UNKNOWN")</f>
        <v>04-05-2025</v>
      </c>
      <c r="I3" s="21">
        <f>IF(COUNTBLANK(RAW_DATA!L3)=0,RAW_DATA!L3,0)</f>
        <v>28684</v>
      </c>
      <c r="J3" s="21" t="str">
        <f>IF(COUNTBLANK(RAW_DATA!M3)=0,RAW_DATA!M3,"UNKNOWN")</f>
        <v>Yes</v>
      </c>
      <c r="K3" s="21" t="str">
        <f>IF(COUNTBLANK(RAW_DATA!N3)=0,RAW_DATA!N3,"UNKNOWN")</f>
        <v>Paid</v>
      </c>
      <c r="L3" s="21">
        <f t="shared" ref="L3:L66" ca="1" si="0">IF(K3="Pending", IF(OR(H3=" ",V3="UNKNOWN",NOT(ISNUMBER(H3))), TODAY( )-INT(G3),TODAY( )-INT(H3)),0)</f>
        <v>0</v>
      </c>
      <c r="M3" s="21" t="str">
        <f t="shared" ref="M3:M66" ca="1" si="1">IF(L3=0,"FULLY_PAID",IF(L3&lt;=30, "1-30 DAYS OVERDUE", IF(L3&lt;=60,"31-60 DAYS OVERDUE","61+ DAYS OVERDUE")))</f>
        <v>FULLY_PAID</v>
      </c>
      <c r="N3" s="10">
        <f t="shared" ref="N3:N66" ca="1" si="2">IF(OR(H3=" ",H3="UNKNOWN"),TODAY()-G3,INT(H3)-INT(G3))</f>
        <v>31</v>
      </c>
      <c r="O3" s="21"/>
      <c r="P3" s="36"/>
      <c r="Q3" s="36"/>
    </row>
    <row r="4" spans="1:17">
      <c r="A4" s="21" t="str">
        <f>IF(COUNTBLANK(RAW_DATA!A4)=0,RAW_DATA!A4,"UNKNOWN")</f>
        <v>P1004</v>
      </c>
      <c r="B4" s="21" t="str">
        <f>IF(COUNTBLANK(RAW_DATA!B4)=0,RAW_DATA!B4,"UNKNOWN")</f>
        <v>Rahul</v>
      </c>
      <c r="C4" s="7">
        <f>IF(COUNTBLANK(RAW_DATA!C4)=0,RAW_DATA!C4,"N/A")</f>
        <v>31</v>
      </c>
      <c r="D4" s="21" t="str">
        <f>IF(COUNTBLANK(RAW_DATA!D4)=0,RAW_DATA!D4,"UNKNOWN")</f>
        <v>Male</v>
      </c>
      <c r="E4" s="21" t="str">
        <f>IF(COUNTBLANK(RAW_DATA!E4)=0,RAW_DATA!E4,"UNKNOWN")</f>
        <v>General</v>
      </c>
      <c r="F4" s="21" t="str">
        <f>IF(COUNTBLANK(RAW_DATA!F4)=0,RAW_DATA!F4,"UNKNOWN")</f>
        <v>Dr. Das</v>
      </c>
      <c r="G4" s="20" t="str">
        <f>IF(COUNTBLANK(RAW_DATA!G4)=0,RAW_DATA!G4,"UNKNOWN")</f>
        <v>07-12-2025</v>
      </c>
      <c r="H4" s="21" t="str">
        <f>IF(COUNTBLANK(RAW_DATA!H4)=0,RAW_DATA!H4,"UNKNOWN")</f>
        <v>14-12-2025</v>
      </c>
      <c r="I4" s="21">
        <f>IF(COUNTBLANK(RAW_DATA!L4)=0,RAW_DATA!L4,0)</f>
        <v>25961</v>
      </c>
      <c r="J4" s="21" t="str">
        <f>IF(COUNTBLANK(RAW_DATA!M4)=0,RAW_DATA!M4,"UNKNOWN")</f>
        <v>Yes</v>
      </c>
      <c r="K4" s="21" t="str">
        <f>IF(COUNTBLANK(RAW_DATA!N4)=0,RAW_DATA!N4,"UNKNOWN")</f>
        <v>Pending</v>
      </c>
      <c r="L4" s="21">
        <f t="shared" ca="1" si="0"/>
        <v>312</v>
      </c>
      <c r="M4" s="21" t="str">
        <f t="shared" ca="1" si="1"/>
        <v>61+ DAYS OVERDUE</v>
      </c>
      <c r="N4" s="10" t="e">
        <f t="shared" ca="1" si="2"/>
        <v>#VALUE!</v>
      </c>
      <c r="O4" s="21"/>
      <c r="P4" s="36"/>
      <c r="Q4" s="36"/>
    </row>
    <row r="5" spans="1:17">
      <c r="A5" s="21" t="str">
        <f>IF(COUNTBLANK(RAW_DATA!A5)=0,RAW_DATA!A5,"UNKNOWN")</f>
        <v>P1005</v>
      </c>
      <c r="B5" s="21" t="str">
        <f>IF(COUNTBLANK(RAW_DATA!B5)=0,RAW_DATA!B5,"UNKNOWN")</f>
        <v>Neha</v>
      </c>
      <c r="C5" s="7" t="str">
        <f>IF(COUNTBLANK(RAW_DATA!C5)=0,RAW_DATA!C5,"N/A")</f>
        <v>N/A</v>
      </c>
      <c r="D5" s="21" t="str">
        <f>IF(COUNTBLANK(RAW_DATA!D5)=0,RAW_DATA!D5,"UNKNOWN")</f>
        <v>Male</v>
      </c>
      <c r="E5" s="21" t="str">
        <f>IF(COUNTBLANK(RAW_DATA!E5)=0,RAW_DATA!E5,"UNKNOWN")</f>
        <v>Neurology</v>
      </c>
      <c r="F5" s="21" t="str">
        <f>IF(COUNTBLANK(RAW_DATA!F5)=0,RAW_DATA!F5,"UNKNOWN")</f>
        <v>Dr. Sen</v>
      </c>
      <c r="G5" s="20" t="str">
        <f>IF(COUNTBLANK(RAW_DATA!G5)=0,RAW_DATA!G5,"UNKNOWN")</f>
        <v>29-03-2025</v>
      </c>
      <c r="H5" s="21" t="str">
        <f>IF(COUNTBLANK(RAW_DATA!H5)=0,RAW_DATA!H5,"UNKNOWN")</f>
        <v>04-04-2025</v>
      </c>
      <c r="I5" s="21">
        <f>IF(COUNTBLANK(RAW_DATA!L5)=0,RAW_DATA!L5,0)</f>
        <v>23520</v>
      </c>
      <c r="J5" s="21" t="str">
        <f>IF(COUNTBLANK(RAW_DATA!M5)=0,RAW_DATA!M5,"UNKNOWN")</f>
        <v>Yes</v>
      </c>
      <c r="K5" s="21" t="str">
        <f>IF(COUNTBLANK(RAW_DATA!N5)=0,RAW_DATA!N5,"UNKNOWN")</f>
        <v>Paid</v>
      </c>
      <c r="L5" s="21">
        <f t="shared" ca="1" si="0"/>
        <v>0</v>
      </c>
      <c r="M5" s="21" t="str">
        <f t="shared" ca="1" si="1"/>
        <v>FULLY_PAID</v>
      </c>
      <c r="N5" s="10" t="e">
        <f t="shared" ca="1" si="2"/>
        <v>#VALUE!</v>
      </c>
      <c r="O5" s="21"/>
      <c r="P5" s="36"/>
      <c r="Q5" s="36"/>
    </row>
    <row r="6" spans="1:17">
      <c r="A6" s="21" t="str">
        <f>IF(COUNTBLANK(RAW_DATA!A6)=0,RAW_DATA!A6,"UNKNOWN")</f>
        <v>P1006</v>
      </c>
      <c r="B6" s="21" t="str">
        <f>IF(COUNTBLANK(RAW_DATA!B6)=0,RAW_DATA!B6,"UNKNOWN")</f>
        <v>Rohit</v>
      </c>
      <c r="C6" s="7" t="str">
        <f>IF(COUNTBLANK(RAW_DATA!C6)=0,RAW_DATA!C6,"N/A")</f>
        <v>N/A</v>
      </c>
      <c r="D6" s="21" t="str">
        <f>IF(COUNTBLANK(RAW_DATA!D6)=0,RAW_DATA!D6,"UNKNOWN")</f>
        <v>Female</v>
      </c>
      <c r="E6" s="21" t="str">
        <f>IF(COUNTBLANK(RAW_DATA!E6)=0,RAW_DATA!E6,"UNKNOWN")</f>
        <v>Pediatrics</v>
      </c>
      <c r="F6" s="21" t="str">
        <f>IF(COUNTBLANK(RAW_DATA!F6)=0,RAW_DATA!F6,"UNKNOWN")</f>
        <v>UNKNOWN</v>
      </c>
      <c r="G6" s="20" t="str">
        <f>IF(COUNTBLANK(RAW_DATA!G6)=0,RAW_DATA!G6,"UNKNOWN")</f>
        <v>10-09-2025</v>
      </c>
      <c r="H6" s="21" t="str">
        <f>IF(COUNTBLANK(RAW_DATA!H6)=0,RAW_DATA!H6,"UNKNOWN")</f>
        <v>20-09-2025</v>
      </c>
      <c r="I6" s="21">
        <f>IF(COUNTBLANK(RAW_DATA!L6)=0,RAW_DATA!L6,0)</f>
        <v>37716</v>
      </c>
      <c r="J6" s="21" t="str">
        <f>IF(COUNTBLANK(RAW_DATA!M6)=0,RAW_DATA!M6,"UNKNOWN")</f>
        <v>No</v>
      </c>
      <c r="K6" s="21" t="str">
        <f>IF(COUNTBLANK(RAW_DATA!N6)=0,RAW_DATA!N6,"UNKNOWN")</f>
        <v>Paid</v>
      </c>
      <c r="L6" s="21">
        <f t="shared" ca="1" si="0"/>
        <v>0</v>
      </c>
      <c r="M6" s="21" t="str">
        <f t="shared" ca="1" si="1"/>
        <v>FULLY_PAID</v>
      </c>
      <c r="N6" s="10" t="e">
        <f t="shared" ca="1" si="2"/>
        <v>#VALUE!</v>
      </c>
      <c r="O6" s="21"/>
      <c r="P6" s="36"/>
      <c r="Q6" s="36"/>
    </row>
    <row r="7" spans="1:17">
      <c r="A7" s="21" t="str">
        <f>IF(COUNTBLANK(RAW_DATA!A7)=0,RAW_DATA!A7,"UNKNOWN")</f>
        <v>P1007</v>
      </c>
      <c r="B7" s="21" t="str">
        <f>IF(COUNTBLANK(RAW_DATA!B7)=0,RAW_DATA!B7,"UNKNOWN")</f>
        <v xml:space="preserve">Rohit </v>
      </c>
      <c r="C7" s="7" t="str">
        <f>IF(COUNTBLANK(RAW_DATA!C7)=0,RAW_DATA!C7,"N/A")</f>
        <v>N/A</v>
      </c>
      <c r="D7" s="21" t="str">
        <f>IF(COUNTBLANK(RAW_DATA!D7)=0,RAW_DATA!D7,"UNKNOWN")</f>
        <v>Male</v>
      </c>
      <c r="E7" s="21" t="str">
        <f>IF(COUNTBLANK(RAW_DATA!E7)=0,RAW_DATA!E7,"UNKNOWN")</f>
        <v>Cardiology</v>
      </c>
      <c r="F7" s="21" t="str">
        <f>IF(COUNTBLANK(RAW_DATA!F7)=0,RAW_DATA!F7,"UNKNOWN")</f>
        <v>Dr. Khan</v>
      </c>
      <c r="G7" s="20" t="str">
        <f>IF(COUNTBLANK(RAW_DATA!G7)=0,RAW_DATA!G7,"UNKNOWN")</f>
        <v>03-02-2025</v>
      </c>
      <c r="H7" s="21" t="str">
        <f>IF(COUNTBLANK(RAW_DATA!H7)=0,RAW_DATA!H7,"UNKNOWN")</f>
        <v>05-02-2025</v>
      </c>
      <c r="I7" s="21">
        <f>IF(COUNTBLANK(RAW_DATA!L7)=0,RAW_DATA!L7,0)</f>
        <v>35916</v>
      </c>
      <c r="J7" s="21" t="str">
        <f>IF(COUNTBLANK(RAW_DATA!M7)=0,RAW_DATA!M7,"UNKNOWN")</f>
        <v>Yes</v>
      </c>
      <c r="K7" s="21" t="str">
        <f>IF(COUNTBLANK(RAW_DATA!N7)=0,RAW_DATA!N7,"UNKNOWN")</f>
        <v>Paid</v>
      </c>
      <c r="L7" s="21">
        <f t="shared" ca="1" si="0"/>
        <v>0</v>
      </c>
      <c r="M7" s="21" t="str">
        <f t="shared" ca="1" si="1"/>
        <v>FULLY_PAID</v>
      </c>
      <c r="N7" s="10">
        <f t="shared" ca="1" si="2"/>
        <v>61</v>
      </c>
      <c r="O7" s="21"/>
      <c r="P7" s="21"/>
      <c r="Q7" s="21"/>
    </row>
    <row r="8" spans="1:17">
      <c r="A8" s="21" t="str">
        <f>IF(COUNTBLANK(RAW_DATA!A8)=0,RAW_DATA!A8,"UNKNOWN")</f>
        <v>UNKNOWN</v>
      </c>
      <c r="B8" s="21" t="str">
        <f>IF(COUNTBLANK(RAW_DATA!B8)=0,RAW_DATA!B8,"UNKNOWN")</f>
        <v xml:space="preserve">Rahul </v>
      </c>
      <c r="C8" s="7" t="str">
        <f>IF(COUNTBLANK(RAW_DATA!C8)=0,RAW_DATA!C8,"N/A")</f>
        <v>N/A</v>
      </c>
      <c r="D8" s="21" t="str">
        <f>IF(COUNTBLANK(RAW_DATA!D8)=0,RAW_DATA!D8,"UNKNOWN")</f>
        <v>Female</v>
      </c>
      <c r="E8" s="21" t="str">
        <f>IF(COUNTBLANK(RAW_DATA!E8)=0,RAW_DATA!E8,"UNKNOWN")</f>
        <v>General</v>
      </c>
      <c r="F8" s="21" t="str">
        <f>IF(COUNTBLANK(RAW_DATA!F8)=0,RAW_DATA!F8,"UNKNOWN")</f>
        <v>Dr. Roy</v>
      </c>
      <c r="G8" s="20" t="str">
        <f>IF(COUNTBLANK(RAW_DATA!G8)=0,RAW_DATA!G8,"UNKNOWN")</f>
        <v>14-06-2025</v>
      </c>
      <c r="H8" s="21" t="str">
        <f>IF(COUNTBLANK(RAW_DATA!H8)=0,RAW_DATA!H8,"UNKNOWN")</f>
        <v>22-06-2025</v>
      </c>
      <c r="I8" s="21">
        <f>IF(COUNTBLANK(RAW_DATA!L8)=0,RAW_DATA!L8,0)</f>
        <v>52381</v>
      </c>
      <c r="J8" s="21" t="str">
        <f>IF(COUNTBLANK(RAW_DATA!M8)=0,RAW_DATA!M8,"UNKNOWN")</f>
        <v>Yes</v>
      </c>
      <c r="K8" s="21" t="str">
        <f>IF(COUNTBLANK(RAW_DATA!N8)=0,RAW_DATA!N8,"UNKNOWN")</f>
        <v>Pending</v>
      </c>
      <c r="L8" s="21" t="e">
        <f t="shared" ca="1" si="0"/>
        <v>#VALUE!</v>
      </c>
      <c r="M8" s="21" t="e">
        <f t="shared" ca="1" si="1"/>
        <v>#VALUE!</v>
      </c>
      <c r="N8" s="10" t="e">
        <f t="shared" ca="1" si="2"/>
        <v>#VALUE!</v>
      </c>
      <c r="O8" s="21"/>
      <c r="P8" s="21"/>
      <c r="Q8" s="21"/>
    </row>
    <row r="9" spans="1:17">
      <c r="A9" s="21" t="str">
        <f>IF(COUNTBLANK(RAW_DATA!A9)=0,RAW_DATA!A9,"UNKNOWN")</f>
        <v>P1009</v>
      </c>
      <c r="B9" s="21" t="str">
        <f>IF(COUNTBLANK(RAW_DATA!B9)=0,RAW_DATA!B9,"UNKNOWN")</f>
        <v xml:space="preserve">Priya </v>
      </c>
      <c r="C9" s="7" t="str">
        <f>IF(COUNTBLANK(RAW_DATA!C9)=0,RAW_DATA!C9,"N/A")</f>
        <v>N/A</v>
      </c>
      <c r="D9" s="21" t="str">
        <f>IF(COUNTBLANK(RAW_DATA!D9)=0,RAW_DATA!D9,"UNKNOWN")</f>
        <v>Female</v>
      </c>
      <c r="E9" s="21" t="str">
        <f>IF(COUNTBLANK(RAW_DATA!E9)=0,RAW_DATA!E9,"UNKNOWN")</f>
        <v>Neurology</v>
      </c>
      <c r="F9" s="21" t="str">
        <f>IF(COUNTBLANK(RAW_DATA!F9)=0,RAW_DATA!F9,"UNKNOWN")</f>
        <v>Dr. Sen</v>
      </c>
      <c r="G9" s="20" t="str">
        <f>IF(COUNTBLANK(RAW_DATA!G9)=0,RAW_DATA!G9,"UNKNOWN")</f>
        <v>16-08-2025</v>
      </c>
      <c r="H9" s="21" t="str">
        <f>IF(COUNTBLANK(RAW_DATA!H9)=0,RAW_DATA!H9,"UNKNOWN")</f>
        <v>UNKNOWN</v>
      </c>
      <c r="I9" s="21">
        <f>IF(COUNTBLANK(RAW_DATA!L9)=0,RAW_DATA!L9,0)</f>
        <v>25930</v>
      </c>
      <c r="J9" s="21" t="str">
        <f>IF(COUNTBLANK(RAW_DATA!M9)=0,RAW_DATA!M9,"UNKNOWN")</f>
        <v>No</v>
      </c>
      <c r="K9" s="21" t="str">
        <f>IF(COUNTBLANK(RAW_DATA!N9)=0,RAW_DATA!N9,"UNKNOWN")</f>
        <v>Pending</v>
      </c>
      <c r="L9" s="21" t="e">
        <f t="shared" ca="1" si="0"/>
        <v>#VALUE!</v>
      </c>
      <c r="M9" s="21" t="e">
        <f t="shared" ca="1" si="1"/>
        <v>#VALUE!</v>
      </c>
      <c r="N9" s="10" t="e">
        <f t="shared" ca="1" si="2"/>
        <v>#VALUE!</v>
      </c>
      <c r="O9" s="21"/>
      <c r="P9" s="21"/>
      <c r="Q9" s="21"/>
    </row>
    <row r="10" spans="1:17">
      <c r="A10" s="21" t="str">
        <f>IF(COUNTBLANK(RAW_DATA!A10)=0,RAW_DATA!A10,"UNKNOWN")</f>
        <v>P1010</v>
      </c>
      <c r="B10" s="21" t="str">
        <f>IF(COUNTBLANK(RAW_DATA!B10)=0,RAW_DATA!B10,"UNKNOWN")</f>
        <v xml:space="preserve">Arjun </v>
      </c>
      <c r="C10" s="7">
        <f>IF(COUNTBLANK(RAW_DATA!C10)=0,RAW_DATA!C10,"N/A")</f>
        <v>22</v>
      </c>
      <c r="D10" s="21" t="str">
        <f>IF(COUNTBLANK(RAW_DATA!D10)=0,RAW_DATA!D10,"UNKNOWN")</f>
        <v>Male</v>
      </c>
      <c r="E10" s="21" t="str">
        <f>IF(COUNTBLANK(RAW_DATA!E10)=0,RAW_DATA!E10,"UNKNOWN")</f>
        <v>General</v>
      </c>
      <c r="F10" s="21" t="str">
        <f>IF(COUNTBLANK(RAW_DATA!F10)=0,RAW_DATA!F10,"UNKNOWN")</f>
        <v>Dr. Sen</v>
      </c>
      <c r="G10" s="20" t="str">
        <f>IF(COUNTBLANK(RAW_DATA!G10)=0,RAW_DATA!G10,"UNKNOWN")</f>
        <v>25-10-2025</v>
      </c>
      <c r="H10" s="21" t="str">
        <f>IF(COUNTBLANK(RAW_DATA!H10)=0,RAW_DATA!H10,"UNKNOWN")</f>
        <v>29-10-2025</v>
      </c>
      <c r="I10" s="21">
        <f>IF(COUNTBLANK(RAW_DATA!L10)=0,RAW_DATA!L10,0)</f>
        <v>36989</v>
      </c>
      <c r="J10" s="21" t="str">
        <f>IF(COUNTBLANK(RAW_DATA!M10)=0,RAW_DATA!M10,"UNKNOWN")</f>
        <v>No</v>
      </c>
      <c r="K10" s="21" t="str">
        <f>IF(COUNTBLANK(RAW_DATA!N10)=0,RAW_DATA!N10,"UNKNOWN")</f>
        <v>Pending</v>
      </c>
      <c r="L10" s="21" t="e">
        <f t="shared" ca="1" si="0"/>
        <v>#VALUE!</v>
      </c>
      <c r="M10" s="21" t="e">
        <f t="shared" ca="1" si="1"/>
        <v>#VALUE!</v>
      </c>
      <c r="N10" s="10" t="e">
        <f t="shared" ca="1" si="2"/>
        <v>#VALUE!</v>
      </c>
      <c r="O10" s="21"/>
      <c r="P10" s="21"/>
      <c r="Q10" s="21"/>
    </row>
    <row r="11" spans="1:17">
      <c r="A11" s="21" t="str">
        <f>IF(COUNTBLANK(RAW_DATA!A11)=0,RAW_DATA!A11,"UNKNOWN")</f>
        <v>P1011</v>
      </c>
      <c r="B11" s="21" t="str">
        <f>IF(COUNTBLANK(RAW_DATA!B11)=0,RAW_DATA!B11,"UNKNOWN")</f>
        <v>Arjun</v>
      </c>
      <c r="C11" s="7" t="str">
        <f>IF(COUNTBLANK(RAW_DATA!C11)=0,RAW_DATA!C11,"N/A")</f>
        <v>N/A</v>
      </c>
      <c r="D11" s="21" t="str">
        <f>IF(COUNTBLANK(RAW_DATA!D11)=0,RAW_DATA!D11,"UNKNOWN")</f>
        <v>Male</v>
      </c>
      <c r="E11" s="21" t="str">
        <f>IF(COUNTBLANK(RAW_DATA!E11)=0,RAW_DATA!E11,"UNKNOWN")</f>
        <v>Orthopedics</v>
      </c>
      <c r="F11" s="21" t="str">
        <f>IF(COUNTBLANK(RAW_DATA!F11)=0,RAW_DATA!F11,"UNKNOWN")</f>
        <v>Dr. Sen</v>
      </c>
      <c r="G11" s="20" t="str">
        <f>IF(COUNTBLANK(RAW_DATA!G11)=0,RAW_DATA!G11,"UNKNOWN")</f>
        <v>03-01-2025</v>
      </c>
      <c r="H11" s="21" t="str">
        <f>IF(COUNTBLANK(RAW_DATA!H11)=0,RAW_DATA!H11,"UNKNOWN")</f>
        <v>06-01-2025</v>
      </c>
      <c r="I11" s="21">
        <f>IF(COUNTBLANK(RAW_DATA!L11)=0,RAW_DATA!L11,0)</f>
        <v>46120</v>
      </c>
      <c r="J11" s="21" t="str">
        <f>IF(COUNTBLANK(RAW_DATA!M11)=0,RAW_DATA!M11,"UNKNOWN")</f>
        <v>Yes</v>
      </c>
      <c r="K11" s="21" t="str">
        <f>IF(COUNTBLANK(RAW_DATA!N11)=0,RAW_DATA!N11,"UNKNOWN")</f>
        <v>Pending</v>
      </c>
      <c r="L11" s="21">
        <f t="shared" ca="1" si="0"/>
        <v>445</v>
      </c>
      <c r="M11" s="21" t="str">
        <f t="shared" ca="1" si="1"/>
        <v>61+ DAYS OVERDUE</v>
      </c>
      <c r="N11" s="10">
        <f t="shared" ca="1" si="2"/>
        <v>92</v>
      </c>
      <c r="O11" s="21"/>
      <c r="P11" s="21"/>
      <c r="Q11" s="21"/>
    </row>
    <row r="12" spans="1:17">
      <c r="A12" s="21" t="str">
        <f>IF(COUNTBLANK(RAW_DATA!A12)=0,RAW_DATA!A12,"UNKNOWN")</f>
        <v>P1012</v>
      </c>
      <c r="B12" s="21" t="str">
        <f>IF(COUNTBLANK(RAW_DATA!B12)=0,RAW_DATA!B12,"UNKNOWN")</f>
        <v>UNKNOWN</v>
      </c>
      <c r="C12" s="7" t="str">
        <f>IF(COUNTBLANK(RAW_DATA!C12)=0,RAW_DATA!C12,"N/A")</f>
        <v>N/A</v>
      </c>
      <c r="D12" s="21" t="str">
        <f>IF(COUNTBLANK(RAW_DATA!D12)=0,RAW_DATA!D12,"UNKNOWN")</f>
        <v>Female</v>
      </c>
      <c r="E12" s="21" t="str">
        <f>IF(COUNTBLANK(RAW_DATA!E12)=0,RAW_DATA!E12,"UNKNOWN")</f>
        <v>Cardiology</v>
      </c>
      <c r="F12" s="21" t="str">
        <f>IF(COUNTBLANK(RAW_DATA!F12)=0,RAW_DATA!F12,"UNKNOWN")</f>
        <v>Dr. Ghosh</v>
      </c>
      <c r="G12" s="20" t="str">
        <f>IF(COUNTBLANK(RAW_DATA!G12)=0,RAW_DATA!G12,"UNKNOWN")</f>
        <v>30-10-2025</v>
      </c>
      <c r="H12" s="21" t="str">
        <f>IF(COUNTBLANK(RAW_DATA!H12)=0,RAW_DATA!H12,"UNKNOWN")</f>
        <v>02-11-2025</v>
      </c>
      <c r="I12" s="21">
        <f>IF(COUNTBLANK(RAW_DATA!L12)=0,RAW_DATA!L12,0)</f>
        <v>65540</v>
      </c>
      <c r="J12" s="21" t="str">
        <f>IF(COUNTBLANK(RAW_DATA!M12)=0,RAW_DATA!M12,"UNKNOWN")</f>
        <v>Yes</v>
      </c>
      <c r="K12" s="21" t="str">
        <f>IF(COUNTBLANK(RAW_DATA!N12)=0,RAW_DATA!N12,"UNKNOWN")</f>
        <v>Paid</v>
      </c>
      <c r="L12" s="21">
        <f t="shared" ca="1" si="0"/>
        <v>0</v>
      </c>
      <c r="M12" s="21" t="str">
        <f t="shared" ca="1" si="1"/>
        <v>FULLY_PAID</v>
      </c>
      <c r="N12" s="10" t="e">
        <f t="shared" ca="1" si="2"/>
        <v>#VALUE!</v>
      </c>
      <c r="O12" s="21"/>
      <c r="P12" s="21"/>
      <c r="Q12" s="21"/>
    </row>
    <row r="13" spans="1:17">
      <c r="A13" s="21" t="str">
        <f>IF(COUNTBLANK(RAW_DATA!A13)=0,RAW_DATA!A13,"UNKNOWN")</f>
        <v>P1013</v>
      </c>
      <c r="B13" s="21" t="str">
        <f>IF(COUNTBLANK(RAW_DATA!B13)=0,RAW_DATA!B13,"UNKNOWN")</f>
        <v>Arjun</v>
      </c>
      <c r="C13" s="7" t="str">
        <f>IF(COUNTBLANK(RAW_DATA!C13)=0,RAW_DATA!C13,"N/A")</f>
        <v>N/A</v>
      </c>
      <c r="D13" s="21" t="str">
        <f>IF(COUNTBLANK(RAW_DATA!D13)=0,RAW_DATA!D13,"UNKNOWN")</f>
        <v>UNKNOWN</v>
      </c>
      <c r="E13" s="21" t="str">
        <f>IF(COUNTBLANK(RAW_DATA!E13)=0,RAW_DATA!E13,"UNKNOWN")</f>
        <v>Orthopedics</v>
      </c>
      <c r="F13" s="21" t="str">
        <f>IF(COUNTBLANK(RAW_DATA!F13)=0,RAW_DATA!F13,"UNKNOWN")</f>
        <v>Dr. Khan</v>
      </c>
      <c r="G13" s="20" t="str">
        <f>IF(COUNTBLANK(RAW_DATA!G13)=0,RAW_DATA!G13,"UNKNOWN")</f>
        <v>25-06-2025</v>
      </c>
      <c r="H13" s="21" t="str">
        <f>IF(COUNTBLANK(RAW_DATA!H13)=0,RAW_DATA!H13,"UNKNOWN")</f>
        <v>02-07-2025</v>
      </c>
      <c r="I13" s="21">
        <f>IF(COUNTBLANK(RAW_DATA!L13)=0,RAW_DATA!L13,0)</f>
        <v>49551</v>
      </c>
      <c r="J13" s="21" t="str">
        <f>IF(COUNTBLANK(RAW_DATA!M13)=0,RAW_DATA!M13,"UNKNOWN")</f>
        <v>No</v>
      </c>
      <c r="K13" s="21" t="str">
        <f>IF(COUNTBLANK(RAW_DATA!N13)=0,RAW_DATA!N13,"UNKNOWN")</f>
        <v>Paid</v>
      </c>
      <c r="L13" s="21">
        <f t="shared" ca="1" si="0"/>
        <v>0</v>
      </c>
      <c r="M13" s="21" t="str">
        <f t="shared" ca="1" si="1"/>
        <v>FULLY_PAID</v>
      </c>
      <c r="N13" s="10" t="e">
        <f t="shared" ca="1" si="2"/>
        <v>#VALUE!</v>
      </c>
      <c r="O13" s="21"/>
      <c r="P13" s="21"/>
      <c r="Q13" s="21"/>
    </row>
    <row r="14" spans="1:17">
      <c r="A14" s="21" t="str">
        <f>IF(COUNTBLANK(RAW_DATA!A14)=0,RAW_DATA!A14,"UNKNOWN")</f>
        <v>P1014</v>
      </c>
      <c r="B14" s="21" t="str">
        <f>IF(COUNTBLANK(RAW_DATA!B14)=0,RAW_DATA!B14,"UNKNOWN")</f>
        <v xml:space="preserve">Sneha </v>
      </c>
      <c r="C14" s="7" t="str">
        <f>IF(COUNTBLANK(RAW_DATA!C14)=0,RAW_DATA!C14,"N/A")</f>
        <v>N/A</v>
      </c>
      <c r="D14" s="21" t="str">
        <f>IF(COUNTBLANK(RAW_DATA!D14)=0,RAW_DATA!D14,"UNKNOWN")</f>
        <v>Female</v>
      </c>
      <c r="E14" s="21" t="str">
        <f>IF(COUNTBLANK(RAW_DATA!E14)=0,RAW_DATA!E14,"UNKNOWN")</f>
        <v>General</v>
      </c>
      <c r="F14" s="21" t="str">
        <f>IF(COUNTBLANK(RAW_DATA!F14)=0,RAW_DATA!F14,"UNKNOWN")</f>
        <v>UNKNOWN</v>
      </c>
      <c r="G14" s="20" t="str">
        <f>IF(COUNTBLANK(RAW_DATA!G14)=0,RAW_DATA!G14,"UNKNOWN")</f>
        <v>27-09-2025</v>
      </c>
      <c r="H14" s="21" t="str">
        <f>IF(COUNTBLANK(RAW_DATA!H14)=0,RAW_DATA!H14,"UNKNOWN")</f>
        <v>28-09-2025</v>
      </c>
      <c r="I14" s="21">
        <f>IF(COUNTBLANK(RAW_DATA!L14)=0,RAW_DATA!L14,0)</f>
        <v>38886</v>
      </c>
      <c r="J14" s="21" t="str">
        <f>IF(COUNTBLANK(RAW_DATA!M14)=0,RAW_DATA!M14,"UNKNOWN")</f>
        <v>Yes</v>
      </c>
      <c r="K14" s="21" t="str">
        <f>IF(COUNTBLANK(RAW_DATA!N14)=0,RAW_DATA!N14,"UNKNOWN")</f>
        <v>Paid</v>
      </c>
      <c r="L14" s="21">
        <f t="shared" ca="1" si="0"/>
        <v>0</v>
      </c>
      <c r="M14" s="21" t="str">
        <f t="shared" ca="1" si="1"/>
        <v>FULLY_PAID</v>
      </c>
      <c r="N14" s="10" t="e">
        <f t="shared" ca="1" si="2"/>
        <v>#VALUE!</v>
      </c>
      <c r="O14" s="21"/>
      <c r="P14" s="21"/>
      <c r="Q14" s="21"/>
    </row>
    <row r="15" spans="1:17">
      <c r="A15" s="21" t="str">
        <f>IF(COUNTBLANK(RAW_DATA!A15)=0,RAW_DATA!A15,"UNKNOWN")</f>
        <v>P1015</v>
      </c>
      <c r="B15" s="21" t="str">
        <f>IF(COUNTBLANK(RAW_DATA!B15)=0,RAW_DATA!B15,"UNKNOWN")</f>
        <v>Arjun</v>
      </c>
      <c r="C15" s="7" t="str">
        <f>IF(COUNTBLANK(RAW_DATA!C15)=0,RAW_DATA!C15,"N/A")</f>
        <v>N/A</v>
      </c>
      <c r="D15" s="21" t="str">
        <f>IF(COUNTBLANK(RAW_DATA!D15)=0,RAW_DATA!D15,"UNKNOWN")</f>
        <v>Male</v>
      </c>
      <c r="E15" s="21" t="str">
        <f>IF(COUNTBLANK(RAW_DATA!E15)=0,RAW_DATA!E15,"UNKNOWN")</f>
        <v>Orthopedics</v>
      </c>
      <c r="F15" s="21" t="str">
        <f>IF(COUNTBLANK(RAW_DATA!F15)=0,RAW_DATA!F15,"UNKNOWN")</f>
        <v>Dr. Sen</v>
      </c>
      <c r="G15" s="20" t="str">
        <f>IF(COUNTBLANK(RAW_DATA!G15)=0,RAW_DATA!G15,"UNKNOWN")</f>
        <v>05-03-2025</v>
      </c>
      <c r="H15" s="21" t="str">
        <f>IF(COUNTBLANK(RAW_DATA!H15)=0,RAW_DATA!H15,"UNKNOWN")</f>
        <v>08-03-2025</v>
      </c>
      <c r="I15" s="21">
        <f>IF(COUNTBLANK(RAW_DATA!L15)=0,RAW_DATA!L15,0)</f>
        <v>55060</v>
      </c>
      <c r="J15" s="21" t="str">
        <f>IF(COUNTBLANK(RAW_DATA!M15)=0,RAW_DATA!M15,"UNKNOWN")</f>
        <v>No</v>
      </c>
      <c r="K15" s="21" t="str">
        <f>IF(COUNTBLANK(RAW_DATA!N15)=0,RAW_DATA!N15,"UNKNOWN")</f>
        <v>Paid</v>
      </c>
      <c r="L15" s="21">
        <f t="shared" ca="1" si="0"/>
        <v>0</v>
      </c>
      <c r="M15" s="21" t="str">
        <f t="shared" ca="1" si="1"/>
        <v>FULLY_PAID</v>
      </c>
      <c r="N15" s="10">
        <f t="shared" ca="1" si="2"/>
        <v>92</v>
      </c>
      <c r="O15" s="21"/>
      <c r="P15" s="21"/>
      <c r="Q15" s="21"/>
    </row>
    <row r="16" spans="1:17">
      <c r="A16" s="21" t="str">
        <f>IF(COUNTBLANK(RAW_DATA!A16)=0,RAW_DATA!A16,"UNKNOWN")</f>
        <v>P1016</v>
      </c>
      <c r="B16" s="21" t="str">
        <f>IF(COUNTBLANK(RAW_DATA!B16)=0,RAW_DATA!B16,"UNKNOWN")</f>
        <v>Arjun</v>
      </c>
      <c r="C16" s="7" t="str">
        <f>IF(COUNTBLANK(RAW_DATA!C16)=0,RAW_DATA!C16,"N/A")</f>
        <v>N/A</v>
      </c>
      <c r="D16" s="21" t="str">
        <f>IF(COUNTBLANK(RAW_DATA!D16)=0,RAW_DATA!D16,"UNKNOWN")</f>
        <v>Female</v>
      </c>
      <c r="E16" s="21" t="str">
        <f>IF(COUNTBLANK(RAW_DATA!E16)=0,RAW_DATA!E16,"UNKNOWN")</f>
        <v>General</v>
      </c>
      <c r="F16" s="21" t="str">
        <f>IF(COUNTBLANK(RAW_DATA!F16)=0,RAW_DATA!F16,"UNKNOWN")</f>
        <v>Dr. Khan</v>
      </c>
      <c r="G16" s="20" t="str">
        <f>IF(COUNTBLANK(RAW_DATA!G16)=0,RAW_DATA!G16,"UNKNOWN")</f>
        <v>08-12-2025</v>
      </c>
      <c r="H16" s="21" t="str">
        <f>IF(COUNTBLANK(RAW_DATA!H16)=0,RAW_DATA!H16,"UNKNOWN")</f>
        <v>17-12-2025</v>
      </c>
      <c r="I16" s="21">
        <f>IF(COUNTBLANK(RAW_DATA!L16)=0,RAW_DATA!L16,0)</f>
        <v>18033</v>
      </c>
      <c r="J16" s="21" t="str">
        <f>IF(COUNTBLANK(RAW_DATA!M16)=0,RAW_DATA!M16,"UNKNOWN")</f>
        <v>No</v>
      </c>
      <c r="K16" s="21" t="str">
        <f>IF(COUNTBLANK(RAW_DATA!N16)=0,RAW_DATA!N16,"UNKNOWN")</f>
        <v>Paid</v>
      </c>
      <c r="L16" s="21">
        <f t="shared" ca="1" si="0"/>
        <v>0</v>
      </c>
      <c r="M16" s="21" t="str">
        <f t="shared" ca="1" si="1"/>
        <v>FULLY_PAID</v>
      </c>
      <c r="N16" s="10" t="e">
        <f t="shared" ca="1" si="2"/>
        <v>#VALUE!</v>
      </c>
      <c r="O16" s="21"/>
      <c r="P16" s="21"/>
      <c r="Q16" s="21"/>
    </row>
    <row r="17" spans="1:14">
      <c r="A17" s="21" t="str">
        <f>IF(COUNTBLANK(RAW_DATA!A17)=0,RAW_DATA!A17,"UNKNOWN")</f>
        <v>P1017</v>
      </c>
      <c r="B17" s="21" t="str">
        <f>IF(COUNTBLANK(RAW_DATA!B17)=0,RAW_DATA!B17,"UNKNOWN")</f>
        <v>UNKNOWN</v>
      </c>
      <c r="C17" s="7">
        <f>IF(COUNTBLANK(RAW_DATA!C17)=0,RAW_DATA!C17,"N/A")</f>
        <v>20</v>
      </c>
      <c r="D17" s="21" t="str">
        <f>IF(COUNTBLANK(RAW_DATA!D17)=0,RAW_DATA!D17,"UNKNOWN")</f>
        <v>Male</v>
      </c>
      <c r="E17" s="21" t="str">
        <f>IF(COUNTBLANK(RAW_DATA!E17)=0,RAW_DATA!E17,"UNKNOWN")</f>
        <v>Pediatrics</v>
      </c>
      <c r="F17" s="21" t="str">
        <f>IF(COUNTBLANK(RAW_DATA!F17)=0,RAW_DATA!F17,"UNKNOWN")</f>
        <v>Dr. Ghosh</v>
      </c>
      <c r="G17" s="20" t="str">
        <f>IF(COUNTBLANK(RAW_DATA!G17)=0,RAW_DATA!G17,"UNKNOWN")</f>
        <v>29-11-2025</v>
      </c>
      <c r="H17" s="21" t="str">
        <f>IF(COUNTBLANK(RAW_DATA!H17)=0,RAW_DATA!H17,"UNKNOWN")</f>
        <v>03-12-2025</v>
      </c>
      <c r="I17" s="21">
        <f>IF(COUNTBLANK(RAW_DATA!L17)=0,RAW_DATA!L17,0)</f>
        <v>24333</v>
      </c>
      <c r="J17" s="21" t="str">
        <f>IF(COUNTBLANK(RAW_DATA!M17)=0,RAW_DATA!M17,"UNKNOWN")</f>
        <v>No</v>
      </c>
      <c r="K17" s="21" t="str">
        <f>IF(COUNTBLANK(RAW_DATA!N17)=0,RAW_DATA!N17,"UNKNOWN")</f>
        <v>Pending</v>
      </c>
      <c r="L17" s="21" t="e">
        <f t="shared" ca="1" si="0"/>
        <v>#VALUE!</v>
      </c>
      <c r="M17" s="21" t="e">
        <f t="shared" ca="1" si="1"/>
        <v>#VALUE!</v>
      </c>
      <c r="N17" s="10" t="e">
        <f t="shared" ca="1" si="2"/>
        <v>#VALUE!</v>
      </c>
    </row>
    <row r="18" spans="1:14">
      <c r="A18" s="21" t="str">
        <f>IF(COUNTBLANK(RAW_DATA!A18)=0,RAW_DATA!A18,"UNKNOWN")</f>
        <v>P1018</v>
      </c>
      <c r="B18" s="21" t="str">
        <f>IF(COUNTBLANK(RAW_DATA!B18)=0,RAW_DATA!B18,"UNKNOWN")</f>
        <v xml:space="preserve">Rohit </v>
      </c>
      <c r="C18" s="7" t="str">
        <f>IF(COUNTBLANK(RAW_DATA!C18)=0,RAW_DATA!C18,"N/A")</f>
        <v>N/A</v>
      </c>
      <c r="D18" s="21" t="str">
        <f>IF(COUNTBLANK(RAW_DATA!D18)=0,RAW_DATA!D18,"UNKNOWN")</f>
        <v>Male</v>
      </c>
      <c r="E18" s="21" t="str">
        <f>IF(COUNTBLANK(RAW_DATA!E18)=0,RAW_DATA!E18,"UNKNOWN")</f>
        <v>Cardiology</v>
      </c>
      <c r="F18" s="21" t="str">
        <f>IF(COUNTBLANK(RAW_DATA!F18)=0,RAW_DATA!F18,"UNKNOWN")</f>
        <v>Dr. Sen</v>
      </c>
      <c r="G18" s="20" t="str">
        <f>IF(COUNTBLANK(RAW_DATA!G18)=0,RAW_DATA!G18,"UNKNOWN")</f>
        <v>19-05-2025</v>
      </c>
      <c r="H18" s="21" t="str">
        <f>IF(COUNTBLANK(RAW_DATA!H18)=0,RAW_DATA!H18,"UNKNOWN")</f>
        <v>24-05-2025</v>
      </c>
      <c r="I18" s="21">
        <f>IF(COUNTBLANK(RAW_DATA!L18)=0,RAW_DATA!L18,0)</f>
        <v>28171</v>
      </c>
      <c r="J18" s="21" t="str">
        <f>IF(COUNTBLANK(RAW_DATA!M18)=0,RAW_DATA!M18,"UNKNOWN")</f>
        <v>No</v>
      </c>
      <c r="K18" s="21" t="str">
        <f>IF(COUNTBLANK(RAW_DATA!N18)=0,RAW_DATA!N18,"UNKNOWN")</f>
        <v>Paid</v>
      </c>
      <c r="L18" s="21">
        <f t="shared" ca="1" si="0"/>
        <v>0</v>
      </c>
      <c r="M18" s="21" t="str">
        <f t="shared" ca="1" si="1"/>
        <v>FULLY_PAID</v>
      </c>
      <c r="N18" s="10" t="e">
        <f t="shared" ca="1" si="2"/>
        <v>#VALUE!</v>
      </c>
    </row>
    <row r="19" spans="1:14">
      <c r="A19" s="21" t="str">
        <f>IF(COUNTBLANK(RAW_DATA!A19)=0,RAW_DATA!A19,"UNKNOWN")</f>
        <v>P1019</v>
      </c>
      <c r="B19" s="21" t="str">
        <f>IF(COUNTBLANK(RAW_DATA!B19)=0,RAW_DATA!B19,"UNKNOWN")</f>
        <v>Sneha</v>
      </c>
      <c r="C19" s="7">
        <f>IF(COUNTBLANK(RAW_DATA!C19)=0,RAW_DATA!C19,"N/A")</f>
        <v>49</v>
      </c>
      <c r="D19" s="21" t="str">
        <f>IF(COUNTBLANK(RAW_DATA!D19)=0,RAW_DATA!D19,"UNKNOWN")</f>
        <v>Female</v>
      </c>
      <c r="E19" s="21" t="str">
        <f>IF(COUNTBLANK(RAW_DATA!E19)=0,RAW_DATA!E19,"UNKNOWN")</f>
        <v>Orthopedics</v>
      </c>
      <c r="F19" s="21" t="str">
        <f>IF(COUNTBLANK(RAW_DATA!F19)=0,RAW_DATA!F19,"UNKNOWN")</f>
        <v>Dr. Roy</v>
      </c>
      <c r="G19" s="20" t="str">
        <f>IF(COUNTBLANK(RAW_DATA!G19)=0,RAW_DATA!G19,"UNKNOWN")</f>
        <v>05-07-2025</v>
      </c>
      <c r="H19" s="21" t="str">
        <f>IF(COUNTBLANK(RAW_DATA!H19)=0,RAW_DATA!H19,"UNKNOWN")</f>
        <v>UNKNOWN</v>
      </c>
      <c r="I19" s="21">
        <f>IF(COUNTBLANK(RAW_DATA!L19)=0,RAW_DATA!L19,0)</f>
        <v>21323</v>
      </c>
      <c r="J19" s="21" t="str">
        <f>IF(COUNTBLANK(RAW_DATA!M19)=0,RAW_DATA!M19,"UNKNOWN")</f>
        <v>No</v>
      </c>
      <c r="K19" s="21" t="str">
        <f>IF(COUNTBLANK(RAW_DATA!N19)=0,RAW_DATA!N19,"UNKNOWN")</f>
        <v>Paid</v>
      </c>
      <c r="L19" s="21">
        <f t="shared" ca="1" si="0"/>
        <v>0</v>
      </c>
      <c r="M19" s="21" t="str">
        <f t="shared" ca="1" si="1"/>
        <v>FULLY_PAID</v>
      </c>
      <c r="N19" s="10">
        <f t="shared" ca="1" si="2"/>
        <v>378</v>
      </c>
    </row>
    <row r="20" spans="1:14">
      <c r="A20" s="21" t="str">
        <f>IF(COUNTBLANK(RAW_DATA!A20)=0,RAW_DATA!A20,"UNKNOWN")</f>
        <v>P1020</v>
      </c>
      <c r="B20" s="21" t="str">
        <f>IF(COUNTBLANK(RAW_DATA!B20)=0,RAW_DATA!B20,"UNKNOWN")</f>
        <v xml:space="preserve">Arjun </v>
      </c>
      <c r="C20" s="7">
        <f>IF(COUNTBLANK(RAW_DATA!C20)=0,RAW_DATA!C20,"N/A")</f>
        <v>79</v>
      </c>
      <c r="D20" s="21" t="str">
        <f>IF(COUNTBLANK(RAW_DATA!D20)=0,RAW_DATA!D20,"UNKNOWN")</f>
        <v>Male</v>
      </c>
      <c r="E20" s="21" t="str">
        <f>IF(COUNTBLANK(RAW_DATA!E20)=0,RAW_DATA!E20,"UNKNOWN")</f>
        <v>General</v>
      </c>
      <c r="F20" s="21" t="str">
        <f>IF(COUNTBLANK(RAW_DATA!F20)=0,RAW_DATA!F20,"UNKNOWN")</f>
        <v>Dr. Ghosh</v>
      </c>
      <c r="G20" s="20" t="str">
        <f>IF(COUNTBLANK(RAW_DATA!G20)=0,RAW_DATA!G20,"UNKNOWN")</f>
        <v>14-06-2025</v>
      </c>
      <c r="H20" s="21" t="str">
        <f>IF(COUNTBLANK(RAW_DATA!H20)=0,RAW_DATA!H20,"UNKNOWN")</f>
        <v>19-06-2025</v>
      </c>
      <c r="I20" s="21">
        <f>IF(COUNTBLANK(RAW_DATA!L20)=0,RAW_DATA!L20,0)</f>
        <v>53133</v>
      </c>
      <c r="J20" s="21" t="str">
        <f>IF(COUNTBLANK(RAW_DATA!M20)=0,RAW_DATA!M20,"UNKNOWN")</f>
        <v>No</v>
      </c>
      <c r="K20" s="21" t="str">
        <f>IF(COUNTBLANK(RAW_DATA!N20)=0,RAW_DATA!N20,"UNKNOWN")</f>
        <v>Paid</v>
      </c>
      <c r="L20" s="21">
        <f t="shared" ca="1" si="0"/>
        <v>0</v>
      </c>
      <c r="M20" s="21" t="str">
        <f t="shared" ca="1" si="1"/>
        <v>FULLY_PAID</v>
      </c>
      <c r="N20" s="10" t="e">
        <f t="shared" ca="1" si="2"/>
        <v>#VALUE!</v>
      </c>
    </row>
    <row r="21" spans="1:14">
      <c r="A21" s="21" t="str">
        <f>IF(COUNTBLANK(RAW_DATA!A21)=0,RAW_DATA!A21,"UNKNOWN")</f>
        <v>P1021</v>
      </c>
      <c r="B21" s="21" t="str">
        <f>IF(COUNTBLANK(RAW_DATA!B21)=0,RAW_DATA!B21,"UNKNOWN")</f>
        <v xml:space="preserve">Sneha </v>
      </c>
      <c r="C21" s="7" t="str">
        <f>IF(COUNTBLANK(RAW_DATA!C21)=0,RAW_DATA!C21,"N/A")</f>
        <v>N/A</v>
      </c>
      <c r="D21" s="21" t="str">
        <f>IF(COUNTBLANK(RAW_DATA!D21)=0,RAW_DATA!D21,"UNKNOWN")</f>
        <v>Female</v>
      </c>
      <c r="E21" s="21" t="str">
        <f>IF(COUNTBLANK(RAW_DATA!E21)=0,RAW_DATA!E21,"UNKNOWN")</f>
        <v>General</v>
      </c>
      <c r="F21" s="21" t="str">
        <f>IF(COUNTBLANK(RAW_DATA!F21)=0,RAW_DATA!F21,"UNKNOWN")</f>
        <v>Dr. Das</v>
      </c>
      <c r="G21" s="20" t="str">
        <f>IF(COUNTBLANK(RAW_DATA!G21)=0,RAW_DATA!G21,"UNKNOWN")</f>
        <v>15-01-2025</v>
      </c>
      <c r="H21" s="21" t="str">
        <f>IF(COUNTBLANK(RAW_DATA!H21)=0,RAW_DATA!H21,"UNKNOWN")</f>
        <v>18-01-2025</v>
      </c>
      <c r="I21" s="21">
        <f>IF(COUNTBLANK(RAW_DATA!L21)=0,RAW_DATA!L21,0)</f>
        <v>34252</v>
      </c>
      <c r="J21" s="21" t="str">
        <f>IF(COUNTBLANK(RAW_DATA!M21)=0,RAW_DATA!M21,"UNKNOWN")</f>
        <v>Yes</v>
      </c>
      <c r="K21" s="21" t="str">
        <f>IF(COUNTBLANK(RAW_DATA!N21)=0,RAW_DATA!N21,"UNKNOWN")</f>
        <v>Paid</v>
      </c>
      <c r="L21" s="21">
        <f t="shared" ca="1" si="0"/>
        <v>0</v>
      </c>
      <c r="M21" s="21" t="str">
        <f t="shared" ca="1" si="1"/>
        <v>FULLY_PAID</v>
      </c>
      <c r="N21" s="10" t="e">
        <f t="shared" ca="1" si="2"/>
        <v>#VALUE!</v>
      </c>
    </row>
    <row r="22" spans="1:14">
      <c r="A22" s="21" t="str">
        <f>IF(COUNTBLANK(RAW_DATA!A22)=0,RAW_DATA!A22,"UNKNOWN")</f>
        <v>P1022</v>
      </c>
      <c r="B22" s="21" t="str">
        <f>IF(COUNTBLANK(RAW_DATA!B22)=0,RAW_DATA!B22,"UNKNOWN")</f>
        <v>UNKNOWN</v>
      </c>
      <c r="C22" s="7" t="str">
        <f>IF(COUNTBLANK(RAW_DATA!C22)=0,RAW_DATA!C22,"N/A")</f>
        <v>N/A</v>
      </c>
      <c r="D22" s="21" t="str">
        <f>IF(COUNTBLANK(RAW_DATA!D22)=0,RAW_DATA!D22,"UNKNOWN")</f>
        <v>Male</v>
      </c>
      <c r="E22" s="21" t="str">
        <f>IF(COUNTBLANK(RAW_DATA!E22)=0,RAW_DATA!E22,"UNKNOWN")</f>
        <v>Neurology</v>
      </c>
      <c r="F22" s="21" t="str">
        <f>IF(COUNTBLANK(RAW_DATA!F22)=0,RAW_DATA!F22,"UNKNOWN")</f>
        <v>Dr. Khan</v>
      </c>
      <c r="G22" s="19">
        <v>45850</v>
      </c>
      <c r="H22" s="21" t="str">
        <f>IF(COUNTBLANK(RAW_DATA!H22)=0,RAW_DATA!H22,"UNKNOWN")</f>
        <v>18-09-2025</v>
      </c>
      <c r="I22" s="21">
        <f>IF(COUNTBLANK(RAW_DATA!L22)=0,RAW_DATA!L22,0)</f>
        <v>23896</v>
      </c>
      <c r="J22" s="21" t="str">
        <f>IF(COUNTBLANK(RAW_DATA!M22)=0,RAW_DATA!M22,"UNKNOWN")</f>
        <v>UNKNOWN</v>
      </c>
      <c r="K22" s="21" t="str">
        <f>IF(COUNTBLANK(RAW_DATA!N22)=0,RAW_DATA!N22,"UNKNOWN")</f>
        <v>Pending</v>
      </c>
      <c r="L22" s="21">
        <f t="shared" ca="1" si="0"/>
        <v>312</v>
      </c>
      <c r="M22" s="21" t="str">
        <f t="shared" ca="1" si="1"/>
        <v>61+ DAYS OVERDUE</v>
      </c>
      <c r="N22" s="10" t="e">
        <f t="shared" ca="1" si="2"/>
        <v>#VALUE!</v>
      </c>
    </row>
    <row r="23" spans="1:14">
      <c r="A23" s="21" t="str">
        <f>IF(COUNTBLANK(RAW_DATA!A23)=0,RAW_DATA!A23,"UNKNOWN")</f>
        <v>P1023</v>
      </c>
      <c r="B23" s="21" t="str">
        <f>IF(COUNTBLANK(RAW_DATA!B23)=0,RAW_DATA!B23,"UNKNOWN")</f>
        <v>Kiran</v>
      </c>
      <c r="C23" s="7" t="str">
        <f>IF(COUNTBLANK(RAW_DATA!C23)=0,RAW_DATA!C23,"N/A")</f>
        <v>N/A</v>
      </c>
      <c r="D23" s="21" t="str">
        <f>IF(COUNTBLANK(RAW_DATA!D23)=0,RAW_DATA!D23,"UNKNOWN")</f>
        <v>Female</v>
      </c>
      <c r="E23" s="21" t="str">
        <f>IF(COUNTBLANK(RAW_DATA!E23)=0,RAW_DATA!E23,"UNKNOWN")</f>
        <v>Pediatrics</v>
      </c>
      <c r="F23" s="21" t="str">
        <f>IF(COUNTBLANK(RAW_DATA!F23)=0,RAW_DATA!F23,"UNKNOWN")</f>
        <v>Dr. Das</v>
      </c>
      <c r="G23" s="20" t="str">
        <f>IF(COUNTBLANK(RAW_DATA!G23)=0,RAW_DATA!G23,"UNKNOWN")</f>
        <v>02-09-2025</v>
      </c>
      <c r="H23" s="21" t="str">
        <f>IF(COUNTBLANK(RAW_DATA!H23)=0,RAW_DATA!H23,"UNKNOWN")</f>
        <v>11-09-2025</v>
      </c>
      <c r="I23" s="21">
        <f>IF(COUNTBLANK(RAW_DATA!L23)=0,RAW_DATA!L23,0)</f>
        <v>32256</v>
      </c>
      <c r="J23" s="21" t="str">
        <f>IF(COUNTBLANK(RAW_DATA!M23)=0,RAW_DATA!M23,"UNKNOWN")</f>
        <v>No</v>
      </c>
      <c r="K23" s="21" t="str">
        <f>IF(COUNTBLANK(RAW_DATA!N23)=0,RAW_DATA!N23,"UNKNOWN")</f>
        <v>Pending</v>
      </c>
      <c r="L23" s="21">
        <f t="shared" ca="1" si="0"/>
        <v>465</v>
      </c>
      <c r="M23" s="21" t="str">
        <f t="shared" ca="1" si="1"/>
        <v>61+ DAYS OVERDUE</v>
      </c>
      <c r="N23" s="10">
        <f t="shared" ca="1" si="2"/>
        <v>273</v>
      </c>
    </row>
    <row r="24" spans="1:14">
      <c r="A24" s="21" t="str">
        <f>IF(COUNTBLANK(RAW_DATA!A24)=0,RAW_DATA!A24,"UNKNOWN")</f>
        <v>P1024</v>
      </c>
      <c r="B24" s="21" t="str">
        <f>IF(COUNTBLANK(RAW_DATA!B24)=0,RAW_DATA!B24,"UNKNOWN")</f>
        <v xml:space="preserve">Priya </v>
      </c>
      <c r="C24" s="7" t="str">
        <f>IF(COUNTBLANK(RAW_DATA!C24)=0,RAW_DATA!C24,"N/A")</f>
        <v>N/A</v>
      </c>
      <c r="D24" s="21" t="str">
        <f>IF(COUNTBLANK(RAW_DATA!D24)=0,RAW_DATA!D24,"UNKNOWN")</f>
        <v>Female</v>
      </c>
      <c r="E24" s="21" t="str">
        <f>IF(COUNTBLANK(RAW_DATA!E24)=0,RAW_DATA!E24,"UNKNOWN")</f>
        <v>Orthopedics</v>
      </c>
      <c r="F24" s="21" t="str">
        <f>IF(COUNTBLANK(RAW_DATA!F24)=0,RAW_DATA!F24,"UNKNOWN")</f>
        <v>Dr. Das</v>
      </c>
      <c r="G24" s="20" t="str">
        <f>IF(COUNTBLANK(RAW_DATA!G24)=0,RAW_DATA!G24,"UNKNOWN")</f>
        <v>12-03-2025</v>
      </c>
      <c r="H24" s="21" t="str">
        <f>IF(COUNTBLANK(RAW_DATA!H24)=0,RAW_DATA!H24,"UNKNOWN")</f>
        <v>14-03-2025</v>
      </c>
      <c r="I24" s="21">
        <f>IF(COUNTBLANK(RAW_DATA!L24)=0,RAW_DATA!L24,0)</f>
        <v>44393</v>
      </c>
      <c r="J24" s="21" t="str">
        <f>IF(COUNTBLANK(RAW_DATA!M24)=0,RAW_DATA!M24,"UNKNOWN")</f>
        <v>Yes</v>
      </c>
      <c r="K24" s="21" t="str">
        <f>IF(COUNTBLANK(RAW_DATA!N24)=0,RAW_DATA!N24,"UNKNOWN")</f>
        <v>Paid</v>
      </c>
      <c r="L24" s="21">
        <f t="shared" ca="1" si="0"/>
        <v>0</v>
      </c>
      <c r="M24" s="21" t="str">
        <f t="shared" ca="1" si="1"/>
        <v>FULLY_PAID</v>
      </c>
      <c r="N24" s="10" t="e">
        <f t="shared" ca="1" si="2"/>
        <v>#VALUE!</v>
      </c>
    </row>
    <row r="25" spans="1:14">
      <c r="A25" s="21" t="str">
        <f>IF(COUNTBLANK(RAW_DATA!A25)=0,RAW_DATA!A25,"UNKNOWN")</f>
        <v>P1025</v>
      </c>
      <c r="B25" s="21" t="str">
        <f>IF(COUNTBLANK(RAW_DATA!B25)=0,RAW_DATA!B25,"UNKNOWN")</f>
        <v>Neha</v>
      </c>
      <c r="C25" s="7">
        <f>IF(COUNTBLANK(RAW_DATA!C25)=0,RAW_DATA!C25,"N/A")</f>
        <v>26</v>
      </c>
      <c r="D25" s="21" t="str">
        <f>IF(COUNTBLANK(RAW_DATA!D25)=0,RAW_DATA!D25,"UNKNOWN")</f>
        <v>Male</v>
      </c>
      <c r="E25" s="21" t="str">
        <f>IF(COUNTBLANK(RAW_DATA!E25)=0,RAW_DATA!E25,"UNKNOWN")</f>
        <v>Orthopedics</v>
      </c>
      <c r="F25" s="21" t="str">
        <f>IF(COUNTBLANK(RAW_DATA!F25)=0,RAW_DATA!F25,"UNKNOWN")</f>
        <v>Dr. Ghosh</v>
      </c>
      <c r="G25" s="20" t="str">
        <f>IF(COUNTBLANK(RAW_DATA!G25)=0,RAW_DATA!G25,"UNKNOWN")</f>
        <v>10-02-2025</v>
      </c>
      <c r="H25" s="21" t="str">
        <f>IF(COUNTBLANK(RAW_DATA!H25)=0,RAW_DATA!H25,"UNKNOWN")</f>
        <v>UNKNOWN</v>
      </c>
      <c r="I25" s="21">
        <f>IF(COUNTBLANK(RAW_DATA!L25)=0,RAW_DATA!L25,0)</f>
        <v>46921</v>
      </c>
      <c r="J25" s="21" t="str">
        <f>IF(COUNTBLANK(RAW_DATA!M25)=0,RAW_DATA!M25,"UNKNOWN")</f>
        <v>Yes</v>
      </c>
      <c r="K25" s="21" t="str">
        <f>IF(COUNTBLANK(RAW_DATA!N25)=0,RAW_DATA!N25,"UNKNOWN")</f>
        <v>UNKNOWN</v>
      </c>
      <c r="L25" s="21">
        <f t="shared" ca="1" si="0"/>
        <v>0</v>
      </c>
      <c r="M25" s="21" t="str">
        <f t="shared" ca="1" si="1"/>
        <v>FULLY_PAID</v>
      </c>
      <c r="N25" s="10">
        <f t="shared" ca="1" si="2"/>
        <v>230</v>
      </c>
    </row>
    <row r="26" spans="1:14">
      <c r="A26" s="21" t="str">
        <f>IF(COUNTBLANK(RAW_DATA!A26)=0,RAW_DATA!A26,"UNKNOWN")</f>
        <v>P1026</v>
      </c>
      <c r="B26" s="21" t="str">
        <f>IF(COUNTBLANK(RAW_DATA!B26)=0,RAW_DATA!B26,"UNKNOWN")</f>
        <v>Ananya</v>
      </c>
      <c r="C26" s="7">
        <f>IF(COUNTBLANK(RAW_DATA!C26)=0,RAW_DATA!C26,"N/A")</f>
        <v>54</v>
      </c>
      <c r="D26" s="21" t="str">
        <f>IF(COUNTBLANK(RAW_DATA!D26)=0,RAW_DATA!D26,"UNKNOWN")</f>
        <v>Female</v>
      </c>
      <c r="E26" s="21" t="str">
        <f>IF(COUNTBLANK(RAW_DATA!E26)=0,RAW_DATA!E26,"UNKNOWN")</f>
        <v>Pediatrics</v>
      </c>
      <c r="F26" s="21" t="str">
        <f>IF(COUNTBLANK(RAW_DATA!F26)=0,RAW_DATA!F26,"UNKNOWN")</f>
        <v>Dr. Ghosh</v>
      </c>
      <c r="G26" s="20" t="str">
        <f>IF(COUNTBLANK(RAW_DATA!G26)=0,RAW_DATA!G26,"UNKNOWN")</f>
        <v>11-11-2025</v>
      </c>
      <c r="H26" s="21" t="str">
        <f>IF(COUNTBLANK(RAW_DATA!H26)=0,RAW_DATA!H26,"UNKNOWN")</f>
        <v>18-11-2025</v>
      </c>
      <c r="I26" s="21">
        <f>IF(COUNTBLANK(RAW_DATA!L26)=0,RAW_DATA!L26,0)</f>
        <v>47968</v>
      </c>
      <c r="J26" s="21" t="str">
        <f>IF(COUNTBLANK(RAW_DATA!M26)=0,RAW_DATA!M26,"UNKNOWN")</f>
        <v>No</v>
      </c>
      <c r="K26" s="21" t="str">
        <f>IF(COUNTBLANK(RAW_DATA!N26)=0,RAW_DATA!N26,"UNKNOWN")</f>
        <v>Pending</v>
      </c>
      <c r="L26" s="21">
        <f t="shared" ca="1" si="0"/>
        <v>190</v>
      </c>
      <c r="M26" s="21" t="str">
        <f t="shared" ca="1" si="1"/>
        <v>61+ DAYS OVERDUE</v>
      </c>
      <c r="N26" s="10" t="e">
        <f t="shared" ca="1" si="2"/>
        <v>#VALUE!</v>
      </c>
    </row>
    <row r="27" spans="1:14">
      <c r="A27" s="21" t="str">
        <f>IF(COUNTBLANK(RAW_DATA!A27)=0,RAW_DATA!A27,"UNKNOWN")</f>
        <v>P1027</v>
      </c>
      <c r="B27" s="21" t="str">
        <f>IF(COUNTBLANK(RAW_DATA!B27)=0,RAW_DATA!B27,"UNKNOWN")</f>
        <v>Ananya</v>
      </c>
      <c r="C27" s="7" t="str">
        <f>IF(COUNTBLANK(RAW_DATA!C27)=0,RAW_DATA!C27,"N/A")</f>
        <v>N/A</v>
      </c>
      <c r="D27" s="21" t="str">
        <f>IF(COUNTBLANK(RAW_DATA!D27)=0,RAW_DATA!D27,"UNKNOWN")</f>
        <v>Male</v>
      </c>
      <c r="E27" s="21" t="str">
        <f>IF(COUNTBLANK(RAW_DATA!E27)=0,RAW_DATA!E27,"UNKNOWN")</f>
        <v>General</v>
      </c>
      <c r="F27" s="21" t="str">
        <f>IF(COUNTBLANK(RAW_DATA!F27)=0,RAW_DATA!F27,"UNKNOWN")</f>
        <v>Dr. Sen</v>
      </c>
      <c r="G27" s="20" t="str">
        <f>IF(COUNTBLANK(RAW_DATA!G27)=0,RAW_DATA!G27,"UNKNOWN")</f>
        <v>15-11-2025</v>
      </c>
      <c r="H27" s="21" t="str">
        <f>IF(COUNTBLANK(RAW_DATA!H27)=0,RAW_DATA!H27,"UNKNOWN")</f>
        <v>22-11-2025</v>
      </c>
      <c r="I27" s="21">
        <f>IF(COUNTBLANK(RAW_DATA!L27)=0,RAW_DATA!L27,0)</f>
        <v>47702</v>
      </c>
      <c r="J27" s="21" t="str">
        <f>IF(COUNTBLANK(RAW_DATA!M27)=0,RAW_DATA!M27,"UNKNOWN")</f>
        <v>Yes</v>
      </c>
      <c r="K27" s="21" t="str">
        <f>IF(COUNTBLANK(RAW_DATA!N27)=0,RAW_DATA!N27,"UNKNOWN")</f>
        <v>Paid</v>
      </c>
      <c r="L27" s="21">
        <f t="shared" ca="1" si="0"/>
        <v>0</v>
      </c>
      <c r="M27" s="21" t="str">
        <f t="shared" ca="1" si="1"/>
        <v>FULLY_PAID</v>
      </c>
      <c r="N27" s="10" t="e">
        <f t="shared" ca="1" si="2"/>
        <v>#VALUE!</v>
      </c>
    </row>
    <row r="28" spans="1:14">
      <c r="A28" s="21" t="str">
        <f>IF(COUNTBLANK(RAW_DATA!A28)=0,RAW_DATA!A28,"UNKNOWN")</f>
        <v>UNKNOWN</v>
      </c>
      <c r="B28" s="21" t="str">
        <f>IF(COUNTBLANK(RAW_DATA!B28)=0,RAW_DATA!B28,"UNKNOWN")</f>
        <v xml:space="preserve">Rahul </v>
      </c>
      <c r="C28" s="7" t="str">
        <f>IF(COUNTBLANK(RAW_DATA!C28)=0,RAW_DATA!C28,"N/A")</f>
        <v>N/A</v>
      </c>
      <c r="D28" s="21" t="str">
        <f>IF(COUNTBLANK(RAW_DATA!D28)=0,RAW_DATA!D28,"UNKNOWN")</f>
        <v>Male</v>
      </c>
      <c r="E28" s="21" t="str">
        <f>IF(COUNTBLANK(RAW_DATA!E28)=0,RAW_DATA!E28,"UNKNOWN")</f>
        <v>Cardiology</v>
      </c>
      <c r="F28" s="21" t="str">
        <f>IF(COUNTBLANK(RAW_DATA!F28)=0,RAW_DATA!F28,"UNKNOWN")</f>
        <v>Dr. Ghosh</v>
      </c>
      <c r="G28" s="20" t="str">
        <f>IF(COUNTBLANK(RAW_DATA!G28)=0,RAW_DATA!G28,"UNKNOWN")</f>
        <v>22-12-2025</v>
      </c>
      <c r="H28" s="21" t="str">
        <f>IF(COUNTBLANK(RAW_DATA!H28)=0,RAW_DATA!H28,"UNKNOWN")</f>
        <v>23-12-2025</v>
      </c>
      <c r="I28" s="21">
        <f>IF(COUNTBLANK(RAW_DATA!L28)=0,RAW_DATA!L28,0)</f>
        <v>39235</v>
      </c>
      <c r="J28" s="21" t="str">
        <f>IF(COUNTBLANK(RAW_DATA!M28)=0,RAW_DATA!M28,"UNKNOWN")</f>
        <v>Yes</v>
      </c>
      <c r="K28" s="21" t="str">
        <f>IF(COUNTBLANK(RAW_DATA!N28)=0,RAW_DATA!N28,"UNKNOWN")</f>
        <v>Pending</v>
      </c>
      <c r="L28" s="21" t="e">
        <f t="shared" ca="1" si="0"/>
        <v>#VALUE!</v>
      </c>
      <c r="M28" s="21" t="e">
        <f t="shared" ca="1" si="1"/>
        <v>#VALUE!</v>
      </c>
      <c r="N28" s="10" t="e">
        <f t="shared" ca="1" si="2"/>
        <v>#VALUE!</v>
      </c>
    </row>
    <row r="29" spans="1:14">
      <c r="A29" s="21" t="str">
        <f>IF(COUNTBLANK(RAW_DATA!A29)=0,RAW_DATA!A29,"UNKNOWN")</f>
        <v>P1029</v>
      </c>
      <c r="B29" s="21" t="str">
        <f>IF(COUNTBLANK(RAW_DATA!B29)=0,RAW_DATA!B29,"UNKNOWN")</f>
        <v xml:space="preserve">Arjun </v>
      </c>
      <c r="C29" s="7" t="str">
        <f>IF(COUNTBLANK(RAW_DATA!C29)=0,RAW_DATA!C29,"N/A")</f>
        <v>N/A</v>
      </c>
      <c r="D29" s="21" t="str">
        <f>IF(COUNTBLANK(RAW_DATA!D29)=0,RAW_DATA!D29,"UNKNOWN")</f>
        <v>Male</v>
      </c>
      <c r="E29" s="21" t="str">
        <f>IF(COUNTBLANK(RAW_DATA!E29)=0,RAW_DATA!E29,"UNKNOWN")</f>
        <v>Cardiology</v>
      </c>
      <c r="F29" s="21" t="str">
        <f>IF(COUNTBLANK(RAW_DATA!F29)=0,RAW_DATA!F29,"UNKNOWN")</f>
        <v>Dr. Das</v>
      </c>
      <c r="G29" s="20" t="str">
        <f>IF(COUNTBLANK(RAW_DATA!G29)=0,RAW_DATA!G29,"UNKNOWN")</f>
        <v>08-02-2025</v>
      </c>
      <c r="H29" s="21" t="str">
        <f>IF(COUNTBLANK(RAW_DATA!H29)=0,RAW_DATA!H29,"UNKNOWN")</f>
        <v>09-02-2025</v>
      </c>
      <c r="I29" s="21">
        <f>IF(COUNTBLANK(RAW_DATA!L29)=0,RAW_DATA!L29,0)</f>
        <v>16631</v>
      </c>
      <c r="J29" s="21" t="str">
        <f>IF(COUNTBLANK(RAW_DATA!M29)=0,RAW_DATA!M29,"UNKNOWN")</f>
        <v>No</v>
      </c>
      <c r="K29" s="21" t="str">
        <f>IF(COUNTBLANK(RAW_DATA!N29)=0,RAW_DATA!N29,"UNKNOWN")</f>
        <v>Paid</v>
      </c>
      <c r="L29" s="21">
        <f t="shared" ca="1" si="0"/>
        <v>0</v>
      </c>
      <c r="M29" s="21" t="str">
        <f t="shared" ca="1" si="1"/>
        <v>FULLY_PAID</v>
      </c>
      <c r="N29" s="10">
        <f t="shared" ca="1" si="2"/>
        <v>31</v>
      </c>
    </row>
    <row r="30" spans="1:14">
      <c r="A30" s="21" t="str">
        <f>IF(COUNTBLANK(RAW_DATA!A30)=0,RAW_DATA!A30,"UNKNOWN")</f>
        <v>P1030</v>
      </c>
      <c r="B30" s="21" t="str">
        <f>IF(COUNTBLANK(RAW_DATA!B30)=0,RAW_DATA!B30,"UNKNOWN")</f>
        <v>Rohit</v>
      </c>
      <c r="C30" s="7" t="str">
        <f>IF(COUNTBLANK(RAW_DATA!C30)=0,RAW_DATA!C30,"N/A")</f>
        <v>N/A</v>
      </c>
      <c r="D30" s="21" t="str">
        <f>IF(COUNTBLANK(RAW_DATA!D30)=0,RAW_DATA!D30,"UNKNOWN")</f>
        <v>Female</v>
      </c>
      <c r="E30" s="21" t="str">
        <f>IF(COUNTBLANK(RAW_DATA!E30)=0,RAW_DATA!E30,"UNKNOWN")</f>
        <v>Pediatrics</v>
      </c>
      <c r="F30" s="21" t="str">
        <f>IF(COUNTBLANK(RAW_DATA!F30)=0,RAW_DATA!F30,"UNKNOWN")</f>
        <v>Dr. Das</v>
      </c>
      <c r="G30" s="20" t="str">
        <f>IF(COUNTBLANK(RAW_DATA!G30)=0,RAW_DATA!G30,"UNKNOWN")</f>
        <v>22-05-2025</v>
      </c>
      <c r="H30" s="21" t="str">
        <f>IF(COUNTBLANK(RAW_DATA!H30)=0,RAW_DATA!H30,"UNKNOWN")</f>
        <v>26-05-2025</v>
      </c>
      <c r="I30" s="21">
        <f>IF(COUNTBLANK(RAW_DATA!L30)=0,RAW_DATA!L30,0)</f>
        <v>53221</v>
      </c>
      <c r="J30" s="21" t="str">
        <f>IF(COUNTBLANK(RAW_DATA!M30)=0,RAW_DATA!M30,"UNKNOWN")</f>
        <v>No</v>
      </c>
      <c r="K30" s="21" t="str">
        <f>IF(COUNTBLANK(RAW_DATA!N30)=0,RAW_DATA!N30,"UNKNOWN")</f>
        <v>Paid</v>
      </c>
      <c r="L30" s="21">
        <f t="shared" ca="1" si="0"/>
        <v>0</v>
      </c>
      <c r="M30" s="21" t="str">
        <f t="shared" ca="1" si="1"/>
        <v>FULLY_PAID</v>
      </c>
      <c r="N30" s="10" t="e">
        <f t="shared" ca="1" si="2"/>
        <v>#VALUE!</v>
      </c>
    </row>
    <row r="31" spans="1:14">
      <c r="A31" s="21" t="str">
        <f>IF(COUNTBLANK(RAW_DATA!A31)=0,RAW_DATA!A31,"UNKNOWN")</f>
        <v>P1031</v>
      </c>
      <c r="B31" s="21" t="str">
        <f>IF(COUNTBLANK(RAW_DATA!B31)=0,RAW_DATA!B31,"UNKNOWN")</f>
        <v>Ananya</v>
      </c>
      <c r="C31" s="7">
        <f>IF(COUNTBLANK(RAW_DATA!C31)=0,RAW_DATA!C31,"N/A")</f>
        <v>24</v>
      </c>
      <c r="D31" s="21" t="str">
        <f>IF(COUNTBLANK(RAW_DATA!D31)=0,RAW_DATA!D31,"UNKNOWN")</f>
        <v>Female</v>
      </c>
      <c r="E31" s="21" t="str">
        <f>IF(COUNTBLANK(RAW_DATA!E31)=0,RAW_DATA!E31,"UNKNOWN")</f>
        <v>Cardiology</v>
      </c>
      <c r="F31" s="21" t="str">
        <f>IF(COUNTBLANK(RAW_DATA!F31)=0,RAW_DATA!F31,"UNKNOWN")</f>
        <v>Dr. Sen</v>
      </c>
      <c r="G31" s="20" t="str">
        <f>IF(COUNTBLANK(RAW_DATA!G31)=0,RAW_DATA!G31,"UNKNOWN")</f>
        <v>13-05-2025</v>
      </c>
      <c r="H31" s="21" t="str">
        <f>IF(COUNTBLANK(RAW_DATA!H31)=0,RAW_DATA!H31,"UNKNOWN")</f>
        <v>15-05-2025</v>
      </c>
      <c r="I31" s="21">
        <f>IF(COUNTBLANK(RAW_DATA!L31)=0,RAW_DATA!L31,0)</f>
        <v>23805</v>
      </c>
      <c r="J31" s="21" t="str">
        <f>IF(COUNTBLANK(RAW_DATA!M31)=0,RAW_DATA!M31,"UNKNOWN")</f>
        <v>No</v>
      </c>
      <c r="K31" s="21" t="str">
        <f>IF(COUNTBLANK(RAW_DATA!N31)=0,RAW_DATA!N31,"UNKNOWN")</f>
        <v>Pending</v>
      </c>
      <c r="L31" s="21" t="e">
        <f t="shared" ca="1" si="0"/>
        <v>#VALUE!</v>
      </c>
      <c r="M31" s="21" t="e">
        <f t="shared" ca="1" si="1"/>
        <v>#VALUE!</v>
      </c>
      <c r="N31" s="10" t="e">
        <f t="shared" ca="1" si="2"/>
        <v>#VALUE!</v>
      </c>
    </row>
    <row r="32" spans="1:14">
      <c r="A32" s="21" t="str">
        <f>IF(COUNTBLANK(RAW_DATA!A32)=0,RAW_DATA!A32,"UNKNOWN")</f>
        <v>P1032</v>
      </c>
      <c r="B32" s="21" t="str">
        <f>IF(COUNTBLANK(RAW_DATA!B32)=0,RAW_DATA!B32,"UNKNOWN")</f>
        <v>UNKNOWN</v>
      </c>
      <c r="C32" s="7" t="str">
        <f>IF(COUNTBLANK(RAW_DATA!C32)=0,RAW_DATA!C32,"N/A")</f>
        <v>N/A</v>
      </c>
      <c r="D32" s="21" t="str">
        <f>IF(COUNTBLANK(RAW_DATA!D32)=0,RAW_DATA!D32,"UNKNOWN")</f>
        <v>Female</v>
      </c>
      <c r="E32" s="21" t="str">
        <f>IF(COUNTBLANK(RAW_DATA!E32)=0,RAW_DATA!E32,"UNKNOWN")</f>
        <v>Pediatrics</v>
      </c>
      <c r="F32" s="21" t="str">
        <f>IF(COUNTBLANK(RAW_DATA!F32)=0,RAW_DATA!F32,"UNKNOWN")</f>
        <v>Dr. Ghosh</v>
      </c>
      <c r="G32" s="20" t="str">
        <f>IF(COUNTBLANK(RAW_DATA!G32)=0,RAW_DATA!G32,"UNKNOWN")</f>
        <v>28-09-2025</v>
      </c>
      <c r="H32" s="21" t="str">
        <f>IF(COUNTBLANK(RAW_DATA!H32)=0,RAW_DATA!H32,"UNKNOWN")</f>
        <v>30-09-2025</v>
      </c>
      <c r="I32" s="21">
        <f>IF(COUNTBLANK(RAW_DATA!L32)=0,RAW_DATA!L32,0)</f>
        <v>65495</v>
      </c>
      <c r="J32" s="21" t="str">
        <f>IF(COUNTBLANK(RAW_DATA!M32)=0,RAW_DATA!M32,"UNKNOWN")</f>
        <v>Yes</v>
      </c>
      <c r="K32" s="21" t="str">
        <f>IF(COUNTBLANK(RAW_DATA!N32)=0,RAW_DATA!N32,"UNKNOWN")</f>
        <v>Paid</v>
      </c>
      <c r="L32" s="21">
        <f t="shared" ca="1" si="0"/>
        <v>0</v>
      </c>
      <c r="M32" s="21" t="str">
        <f t="shared" ca="1" si="1"/>
        <v>FULLY_PAID</v>
      </c>
      <c r="N32" s="10" t="e">
        <f t="shared" ca="1" si="2"/>
        <v>#VALUE!</v>
      </c>
    </row>
    <row r="33" spans="1:14">
      <c r="A33" s="21" t="str">
        <f>IF(COUNTBLANK(RAW_DATA!A33)=0,RAW_DATA!A33,"UNKNOWN")</f>
        <v>P1033</v>
      </c>
      <c r="B33" s="21" t="str">
        <f>IF(COUNTBLANK(RAW_DATA!B33)=0,RAW_DATA!B33,"UNKNOWN")</f>
        <v>Ananya</v>
      </c>
      <c r="C33" s="7">
        <f>IF(COUNTBLANK(RAW_DATA!C33)=0,RAW_DATA!C33,"N/A")</f>
        <v>8</v>
      </c>
      <c r="D33" s="21" t="str">
        <f>IF(COUNTBLANK(RAW_DATA!D33)=0,RAW_DATA!D33,"UNKNOWN")</f>
        <v>Male</v>
      </c>
      <c r="E33" s="21" t="str">
        <f>IF(COUNTBLANK(RAW_DATA!E33)=0,RAW_DATA!E33,"UNKNOWN")</f>
        <v>Cardiology</v>
      </c>
      <c r="F33" s="21" t="str">
        <f>IF(COUNTBLANK(RAW_DATA!F33)=0,RAW_DATA!F33,"UNKNOWN")</f>
        <v>Dr. Ghosh</v>
      </c>
      <c r="G33" s="20" t="str">
        <f>IF(COUNTBLANK(RAW_DATA!G33)=0,RAW_DATA!G33,"UNKNOWN")</f>
        <v>11-10-2025</v>
      </c>
      <c r="H33" s="21" t="str">
        <f>IF(COUNTBLANK(RAW_DATA!H33)=0,RAW_DATA!H33,"UNKNOWN")</f>
        <v>UNKNOWN</v>
      </c>
      <c r="I33" s="21">
        <f>IF(COUNTBLANK(RAW_DATA!L33)=0,RAW_DATA!L33,0)</f>
        <v>30191</v>
      </c>
      <c r="J33" s="21" t="str">
        <f>IF(COUNTBLANK(RAW_DATA!M33)=0,RAW_DATA!M33,"UNKNOWN")</f>
        <v>Yes</v>
      </c>
      <c r="K33" s="21" t="str">
        <f>IF(COUNTBLANK(RAW_DATA!N33)=0,RAW_DATA!N33,"UNKNOWN")</f>
        <v>Paid</v>
      </c>
      <c r="L33" s="21">
        <f t="shared" ca="1" si="0"/>
        <v>0</v>
      </c>
      <c r="M33" s="21" t="str">
        <f t="shared" ca="1" si="1"/>
        <v>FULLY_PAID</v>
      </c>
      <c r="N33" s="10">
        <f t="shared" ca="1" si="2"/>
        <v>191</v>
      </c>
    </row>
    <row r="34" spans="1:14">
      <c r="A34" s="21" t="str">
        <f>IF(COUNTBLANK(RAW_DATA!A34)=0,RAW_DATA!A34,"UNKNOWN")</f>
        <v>P1034</v>
      </c>
      <c r="B34" s="21" t="str">
        <f>IF(COUNTBLANK(RAW_DATA!B34)=0,RAW_DATA!B34,"UNKNOWN")</f>
        <v>Arjun</v>
      </c>
      <c r="C34" s="7" t="str">
        <f>IF(COUNTBLANK(RAW_DATA!C34)=0,RAW_DATA!C34,"N/A")</f>
        <v>N/A</v>
      </c>
      <c r="D34" s="21" t="str">
        <f>IF(COUNTBLANK(RAW_DATA!D34)=0,RAW_DATA!D34,"UNKNOWN")</f>
        <v>Female</v>
      </c>
      <c r="E34" s="21" t="str">
        <f>IF(COUNTBLANK(RAW_DATA!E34)=0,RAW_DATA!E34,"UNKNOWN")</f>
        <v>General</v>
      </c>
      <c r="F34" s="21" t="str">
        <f>IF(COUNTBLANK(RAW_DATA!F34)=0,RAW_DATA!F34,"UNKNOWN")</f>
        <v>Dr. Roy</v>
      </c>
      <c r="G34" s="20" t="str">
        <f>IF(COUNTBLANK(RAW_DATA!G34)=0,RAW_DATA!G34,"UNKNOWN")</f>
        <v>01-01-2026</v>
      </c>
      <c r="H34" s="21" t="str">
        <f>IF(COUNTBLANK(RAW_DATA!H34)=0,RAW_DATA!H34,"UNKNOWN")</f>
        <v>08-01-2026</v>
      </c>
      <c r="I34" s="21">
        <f>IF(COUNTBLANK(RAW_DATA!L34)=0,RAW_DATA!L34,0)</f>
        <v>49166</v>
      </c>
      <c r="J34" s="21" t="str">
        <f>IF(COUNTBLANK(RAW_DATA!M34)=0,RAW_DATA!M34,"UNKNOWN")</f>
        <v>No</v>
      </c>
      <c r="K34" s="21" t="str">
        <f>IF(COUNTBLANK(RAW_DATA!N34)=0,RAW_DATA!N34,"UNKNOWN")</f>
        <v>Pending</v>
      </c>
      <c r="L34" s="21">
        <f t="shared" ca="1" si="0"/>
        <v>139</v>
      </c>
      <c r="M34" s="21" t="str">
        <f t="shared" ca="1" si="1"/>
        <v>61+ DAYS OVERDUE</v>
      </c>
      <c r="N34" s="10">
        <f t="shared" ca="1" si="2"/>
        <v>212</v>
      </c>
    </row>
    <row r="35" spans="1:14">
      <c r="A35" s="21" t="str">
        <f>IF(COUNTBLANK(RAW_DATA!A35)=0,RAW_DATA!A35,"UNKNOWN")</f>
        <v>P1035</v>
      </c>
      <c r="B35" s="21" t="str">
        <f>IF(COUNTBLANK(RAW_DATA!B35)=0,RAW_DATA!B35,"UNKNOWN")</f>
        <v>Sneha</v>
      </c>
      <c r="C35" s="7" t="str">
        <f>IF(COUNTBLANK(RAW_DATA!C35)=0,RAW_DATA!C35,"N/A")</f>
        <v>N/A</v>
      </c>
      <c r="D35" s="21" t="str">
        <f>IF(COUNTBLANK(RAW_DATA!D35)=0,RAW_DATA!D35,"UNKNOWN")</f>
        <v>Female</v>
      </c>
      <c r="E35" s="21" t="str">
        <f>IF(COUNTBLANK(RAW_DATA!E35)=0,RAW_DATA!E35,"UNKNOWN")</f>
        <v>UNKNOWN</v>
      </c>
      <c r="F35" s="21" t="str">
        <f>IF(COUNTBLANK(RAW_DATA!F35)=0,RAW_DATA!F35,"UNKNOWN")</f>
        <v>Dr. Roy</v>
      </c>
      <c r="G35" s="20" t="str">
        <f>IF(COUNTBLANK(RAW_DATA!G35)=0,RAW_DATA!G35,"UNKNOWN")</f>
        <v>19-02-2025</v>
      </c>
      <c r="H35" s="21" t="str">
        <f>IF(COUNTBLANK(RAW_DATA!H35)=0,RAW_DATA!H35,"UNKNOWN")</f>
        <v>20-02-2025</v>
      </c>
      <c r="I35" s="21">
        <f>IF(COUNTBLANK(RAW_DATA!L35)=0,RAW_DATA!L35,0)</f>
        <v>40974</v>
      </c>
      <c r="J35" s="21" t="str">
        <f>IF(COUNTBLANK(RAW_DATA!M35)=0,RAW_DATA!M35,"UNKNOWN")</f>
        <v>No</v>
      </c>
      <c r="K35" s="21" t="str">
        <f>IF(COUNTBLANK(RAW_DATA!N35)=0,RAW_DATA!N35,"UNKNOWN")</f>
        <v>Paid</v>
      </c>
      <c r="L35" s="21">
        <f t="shared" ca="1" si="0"/>
        <v>0</v>
      </c>
      <c r="M35" s="21" t="str">
        <f t="shared" ca="1" si="1"/>
        <v>FULLY_PAID</v>
      </c>
      <c r="N35" s="10" t="e">
        <f t="shared" ca="1" si="2"/>
        <v>#VALUE!</v>
      </c>
    </row>
    <row r="36" spans="1:14">
      <c r="A36" s="21" t="str">
        <f>IF(COUNTBLANK(RAW_DATA!A36)=0,RAW_DATA!A36,"UNKNOWN")</f>
        <v>UNKNOWN</v>
      </c>
      <c r="B36" s="21" t="str">
        <f>IF(COUNTBLANK(RAW_DATA!B36)=0,RAW_DATA!B36,"UNKNOWN")</f>
        <v>Priya</v>
      </c>
      <c r="C36" s="7" t="str">
        <f>IF(COUNTBLANK(RAW_DATA!C36)=0,RAW_DATA!C36,"N/A")</f>
        <v>N/A</v>
      </c>
      <c r="D36" s="21" t="str">
        <f>IF(COUNTBLANK(RAW_DATA!D36)=0,RAW_DATA!D36,"UNKNOWN")</f>
        <v>Male</v>
      </c>
      <c r="E36" s="21" t="str">
        <f>IF(COUNTBLANK(RAW_DATA!E36)=0,RAW_DATA!E36,"UNKNOWN")</f>
        <v>Orthopedics</v>
      </c>
      <c r="F36" s="21" t="str">
        <f>IF(COUNTBLANK(RAW_DATA!F36)=0,RAW_DATA!F36,"UNKNOWN")</f>
        <v>Dr. Khan</v>
      </c>
      <c r="G36" s="20">
        <f>IF(COUNTBLANK(RAW_DATA!G36)=0,RAW_DATA!G36,"UNKNOWN")</f>
        <v>45778</v>
      </c>
      <c r="H36" s="21" t="str">
        <f>IF(COUNTBLANK(RAW_DATA!H36)=0,RAW_DATA!H36,"UNKNOWN")</f>
        <v>01-06-2025</v>
      </c>
      <c r="I36" s="21">
        <f>IF(COUNTBLANK(RAW_DATA!L36)=0,RAW_DATA!L36,0)</f>
        <v>15173</v>
      </c>
      <c r="J36" s="21" t="str">
        <f>IF(COUNTBLANK(RAW_DATA!M36)=0,RAW_DATA!M36,"UNKNOWN")</f>
        <v>Yes</v>
      </c>
      <c r="K36" s="21" t="str">
        <f>IF(COUNTBLANK(RAW_DATA!N36)=0,RAW_DATA!N36,"UNKNOWN")</f>
        <v>Pending</v>
      </c>
      <c r="L36" s="21">
        <f t="shared" ca="1" si="0"/>
        <v>384</v>
      </c>
      <c r="M36" s="21" t="str">
        <f t="shared" ca="1" si="1"/>
        <v>61+ DAYS OVERDUE</v>
      </c>
      <c r="N36" s="10">
        <f t="shared" ca="1" si="2"/>
        <v>-115</v>
      </c>
    </row>
    <row r="37" spans="1:14">
      <c r="A37" s="21" t="str">
        <f>IF(COUNTBLANK(RAW_DATA!A37)=0,RAW_DATA!A37,"UNKNOWN")</f>
        <v>P1037</v>
      </c>
      <c r="B37" s="21" t="str">
        <f>IF(COUNTBLANK(RAW_DATA!B37)=0,RAW_DATA!B37,"UNKNOWN")</f>
        <v>Sneha</v>
      </c>
      <c r="C37" s="7" t="str">
        <f>IF(COUNTBLANK(RAW_DATA!C37)=0,RAW_DATA!C37,"N/A")</f>
        <v>N/A</v>
      </c>
      <c r="D37" s="21" t="str">
        <f>IF(COUNTBLANK(RAW_DATA!D37)=0,RAW_DATA!D37,"UNKNOWN")</f>
        <v>Male</v>
      </c>
      <c r="E37" s="21" t="str">
        <f>IF(COUNTBLANK(RAW_DATA!E37)=0,RAW_DATA!E37,"UNKNOWN")</f>
        <v>Neurology</v>
      </c>
      <c r="F37" s="21" t="str">
        <f>IF(COUNTBLANK(RAW_DATA!F37)=0,RAW_DATA!F37,"UNKNOWN")</f>
        <v>Dr. Ghosh</v>
      </c>
      <c r="G37" s="20" t="str">
        <f>IF(COUNTBLANK(RAW_DATA!G37)=0,RAW_DATA!G37,"UNKNOWN")</f>
        <v>26-01-2025</v>
      </c>
      <c r="H37" s="21" t="str">
        <f>IF(COUNTBLANK(RAW_DATA!H37)=0,RAW_DATA!H37,"UNKNOWN")</f>
        <v>02-02-2025</v>
      </c>
      <c r="I37" s="21">
        <f>IF(COUNTBLANK(RAW_DATA!L37)=0,RAW_DATA!L37,0)</f>
        <v>47666</v>
      </c>
      <c r="J37" s="21" t="str">
        <f>IF(COUNTBLANK(RAW_DATA!M37)=0,RAW_DATA!M37,"UNKNOWN")</f>
        <v>No</v>
      </c>
      <c r="K37" s="21" t="str">
        <f>IF(COUNTBLANK(RAW_DATA!N37)=0,RAW_DATA!N37,"UNKNOWN")</f>
        <v>Pending</v>
      </c>
      <c r="L37" s="21" t="e">
        <f t="shared" ca="1" si="0"/>
        <v>#VALUE!</v>
      </c>
      <c r="M37" s="21" t="e">
        <f t="shared" ca="1" si="1"/>
        <v>#VALUE!</v>
      </c>
      <c r="N37" s="10" t="e">
        <f t="shared" ca="1" si="2"/>
        <v>#VALUE!</v>
      </c>
    </row>
    <row r="38" spans="1:14">
      <c r="A38" s="21" t="str">
        <f>IF(COUNTBLANK(RAW_DATA!A38)=0,RAW_DATA!A38,"UNKNOWN")</f>
        <v>P1038</v>
      </c>
      <c r="B38" s="21" t="str">
        <f>IF(COUNTBLANK(RAW_DATA!B38)=0,RAW_DATA!B38,"UNKNOWN")</f>
        <v>Priya</v>
      </c>
      <c r="C38" s="7" t="str">
        <f>IF(COUNTBLANK(RAW_DATA!C38)=0,RAW_DATA!C38,"N/A")</f>
        <v>N/A</v>
      </c>
      <c r="D38" s="21" t="str">
        <f>IF(COUNTBLANK(RAW_DATA!D38)=0,RAW_DATA!D38,"UNKNOWN")</f>
        <v>UNKNOWN</v>
      </c>
      <c r="E38" s="21" t="str">
        <f>IF(COUNTBLANK(RAW_DATA!E38)=0,RAW_DATA!E38,"UNKNOWN")</f>
        <v>Cardiology</v>
      </c>
      <c r="F38" s="21" t="str">
        <f>IF(COUNTBLANK(RAW_DATA!F38)=0,RAW_DATA!F38,"UNKNOWN")</f>
        <v>Dr. Ghosh</v>
      </c>
      <c r="G38" s="20" t="str">
        <f>IF(COUNTBLANK(RAW_DATA!G38)=0,RAW_DATA!G38,"UNKNOWN")</f>
        <v>04-07-2025</v>
      </c>
      <c r="H38" s="21" t="str">
        <f>IF(COUNTBLANK(RAW_DATA!H38)=0,RAW_DATA!H38,"UNKNOWN")</f>
        <v>10-07-2025</v>
      </c>
      <c r="I38" s="21">
        <f>IF(COUNTBLANK(RAW_DATA!L38)=0,RAW_DATA!L38,0)</f>
        <v>28989</v>
      </c>
      <c r="J38" s="21" t="str">
        <f>IF(COUNTBLANK(RAW_DATA!M38)=0,RAW_DATA!M38,"UNKNOWN")</f>
        <v>Yes</v>
      </c>
      <c r="K38" s="21" t="str">
        <f>IF(COUNTBLANK(RAW_DATA!N38)=0,RAW_DATA!N38,"UNKNOWN")</f>
        <v>Paid</v>
      </c>
      <c r="L38" s="21">
        <f t="shared" ca="1" si="0"/>
        <v>0</v>
      </c>
      <c r="M38" s="21" t="str">
        <f t="shared" ca="1" si="1"/>
        <v>FULLY_PAID</v>
      </c>
      <c r="N38" s="10">
        <f t="shared" ca="1" si="2"/>
        <v>183</v>
      </c>
    </row>
    <row r="39" spans="1:14">
      <c r="A39" s="21" t="str">
        <f>IF(COUNTBLANK(RAW_DATA!A39)=0,RAW_DATA!A39,"UNKNOWN")</f>
        <v>P1039</v>
      </c>
      <c r="B39" s="21" t="str">
        <f>IF(COUNTBLANK(RAW_DATA!B39)=0,RAW_DATA!B39,"UNKNOWN")</f>
        <v xml:space="preserve">Neha </v>
      </c>
      <c r="C39" s="7" t="str">
        <f>IF(COUNTBLANK(RAW_DATA!C39)=0,RAW_DATA!C39,"N/A")</f>
        <v>N/A</v>
      </c>
      <c r="D39" s="21" t="str">
        <f>IF(COUNTBLANK(RAW_DATA!D39)=0,RAW_DATA!D39,"UNKNOWN")</f>
        <v>Male</v>
      </c>
      <c r="E39" s="21" t="str">
        <f>IF(COUNTBLANK(RAW_DATA!E39)=0,RAW_DATA!E39,"UNKNOWN")</f>
        <v>Pediatrics</v>
      </c>
      <c r="F39" s="21" t="str">
        <f>IF(COUNTBLANK(RAW_DATA!F39)=0,RAW_DATA!F39,"UNKNOWN")</f>
        <v>Dr. Roy</v>
      </c>
      <c r="G39" s="20" t="str">
        <f>IF(COUNTBLANK(RAW_DATA!G39)=0,RAW_DATA!G39,"UNKNOWN")</f>
        <v>04-07-2025</v>
      </c>
      <c r="H39" s="21" t="str">
        <f>IF(COUNTBLANK(RAW_DATA!H39)=0,RAW_DATA!H39,"UNKNOWN")</f>
        <v>11-07-2025</v>
      </c>
      <c r="I39" s="21">
        <f>IF(COUNTBLANK(RAW_DATA!L39)=0,RAW_DATA!L39,0)</f>
        <v>54859</v>
      </c>
      <c r="J39" s="21" t="str">
        <f>IF(COUNTBLANK(RAW_DATA!M39)=0,RAW_DATA!M39,"UNKNOWN")</f>
        <v>No</v>
      </c>
      <c r="K39" s="21" t="str">
        <f>IF(COUNTBLANK(RAW_DATA!N39)=0,RAW_DATA!N39,"UNKNOWN")</f>
        <v>Pending</v>
      </c>
      <c r="L39" s="21">
        <f t="shared" ca="1" si="0"/>
        <v>408</v>
      </c>
      <c r="M39" s="21" t="str">
        <f t="shared" ca="1" si="1"/>
        <v>61+ DAYS OVERDUE</v>
      </c>
      <c r="N39" s="10">
        <f t="shared" ca="1" si="2"/>
        <v>214</v>
      </c>
    </row>
    <row r="40" spans="1:14">
      <c r="A40" s="21" t="str">
        <f>IF(COUNTBLANK(RAW_DATA!A40)=0,RAW_DATA!A40,"UNKNOWN")</f>
        <v>P1040</v>
      </c>
      <c r="B40" s="21" t="str">
        <f>IF(COUNTBLANK(RAW_DATA!B40)=0,RAW_DATA!B40,"UNKNOWN")</f>
        <v>Sneha</v>
      </c>
      <c r="C40" s="7" t="str">
        <f>IF(COUNTBLANK(RAW_DATA!C40)=0,RAW_DATA!C40,"N/A")</f>
        <v>N/A</v>
      </c>
      <c r="D40" s="21" t="str">
        <f>IF(COUNTBLANK(RAW_DATA!D40)=0,RAW_DATA!D40,"UNKNOWN")</f>
        <v>Male</v>
      </c>
      <c r="E40" s="21" t="str">
        <f>IF(COUNTBLANK(RAW_DATA!E40)=0,RAW_DATA!E40,"UNKNOWN")</f>
        <v>Pediatrics</v>
      </c>
      <c r="F40" s="21" t="str">
        <f>IF(COUNTBLANK(RAW_DATA!F40)=0,RAW_DATA!F40,"UNKNOWN")</f>
        <v>Dr. Khan</v>
      </c>
      <c r="G40" s="20" t="str">
        <f>IF(COUNTBLANK(RAW_DATA!G40)=0,RAW_DATA!G40,"UNKNOWN")</f>
        <v>23-09-2025</v>
      </c>
      <c r="H40" s="21" t="str">
        <f>IF(COUNTBLANK(RAW_DATA!H40)=0,RAW_DATA!H40,"UNKNOWN")</f>
        <v>28-09-2025</v>
      </c>
      <c r="I40" s="21">
        <f>IF(COUNTBLANK(RAW_DATA!L40)=0,RAW_DATA!L40,0)</f>
        <v>7150</v>
      </c>
      <c r="J40" s="21" t="str">
        <f>IF(COUNTBLANK(RAW_DATA!M40)=0,RAW_DATA!M40,"UNKNOWN")</f>
        <v>No</v>
      </c>
      <c r="K40" s="21" t="str">
        <f>IF(COUNTBLANK(RAW_DATA!N40)=0,RAW_DATA!N40,"UNKNOWN")</f>
        <v>Pending</v>
      </c>
      <c r="L40" s="21" t="e">
        <f t="shared" ca="1" si="0"/>
        <v>#VALUE!</v>
      </c>
      <c r="M40" s="21" t="e">
        <f t="shared" ca="1" si="1"/>
        <v>#VALUE!</v>
      </c>
      <c r="N40" s="10" t="e">
        <f t="shared" ca="1" si="2"/>
        <v>#VALUE!</v>
      </c>
    </row>
    <row r="41" spans="1:14">
      <c r="A41" s="21" t="str">
        <f>IF(COUNTBLANK(RAW_DATA!A41)=0,RAW_DATA!A41,"UNKNOWN")</f>
        <v>P1041</v>
      </c>
      <c r="B41" s="21" t="str">
        <f>IF(COUNTBLANK(RAW_DATA!B41)=0,RAW_DATA!B41,"UNKNOWN")</f>
        <v>UNKNOWN</v>
      </c>
      <c r="C41" s="7" t="str">
        <f>IF(COUNTBLANK(RAW_DATA!C41)=0,RAW_DATA!C41,"N/A")</f>
        <v>N/A</v>
      </c>
      <c r="D41" s="21" t="str">
        <f>IF(COUNTBLANK(RAW_DATA!D41)=0,RAW_DATA!D41,"UNKNOWN")</f>
        <v>Male</v>
      </c>
      <c r="E41" s="21" t="str">
        <f>IF(COUNTBLANK(RAW_DATA!E41)=0,RAW_DATA!E41,"UNKNOWN")</f>
        <v>Cardiology</v>
      </c>
      <c r="F41" s="21" t="str">
        <f>IF(COUNTBLANK(RAW_DATA!F41)=0,RAW_DATA!F41,"UNKNOWN")</f>
        <v>Dr. Roy</v>
      </c>
      <c r="G41" s="20" t="str">
        <f>IF(COUNTBLANK(RAW_DATA!G41)=0,RAW_DATA!G41,"UNKNOWN")</f>
        <v>17-05-2025</v>
      </c>
      <c r="H41" s="21" t="str">
        <f>IF(COUNTBLANK(RAW_DATA!H41)=0,RAW_DATA!H41,"UNKNOWN")</f>
        <v>23-05-2025</v>
      </c>
      <c r="I41" s="21">
        <f>IF(COUNTBLANK(RAW_DATA!L41)=0,RAW_DATA!L41,0)</f>
        <v>14341</v>
      </c>
      <c r="J41" s="21" t="str">
        <f>IF(COUNTBLANK(RAW_DATA!M41)=0,RAW_DATA!M41,"UNKNOWN")</f>
        <v>Yes</v>
      </c>
      <c r="K41" s="21" t="str">
        <f>IF(COUNTBLANK(RAW_DATA!N41)=0,RAW_DATA!N41,"UNKNOWN")</f>
        <v>Paid</v>
      </c>
      <c r="L41" s="21">
        <f t="shared" ca="1" si="0"/>
        <v>0</v>
      </c>
      <c r="M41" s="21" t="str">
        <f t="shared" ca="1" si="1"/>
        <v>FULLY_PAID</v>
      </c>
      <c r="N41" s="10" t="e">
        <f t="shared" ca="1" si="2"/>
        <v>#VALUE!</v>
      </c>
    </row>
    <row r="42" spans="1:14">
      <c r="A42" s="21" t="str">
        <f>IF(COUNTBLANK(RAW_DATA!A42)=0,RAW_DATA!A42,"UNKNOWN")</f>
        <v>P1042</v>
      </c>
      <c r="B42" s="21" t="str">
        <f>IF(COUNTBLANK(RAW_DATA!B42)=0,RAW_DATA!B42,"UNKNOWN")</f>
        <v>Priya</v>
      </c>
      <c r="C42" s="7">
        <f>IF(COUNTBLANK(RAW_DATA!C42)=0,RAW_DATA!C42,"N/A")</f>
        <v>6</v>
      </c>
      <c r="D42" s="21" t="str">
        <f>IF(COUNTBLANK(RAW_DATA!D42)=0,RAW_DATA!D42,"UNKNOWN")</f>
        <v>Female</v>
      </c>
      <c r="E42" s="21" t="str">
        <f>IF(COUNTBLANK(RAW_DATA!E42)=0,RAW_DATA!E42,"UNKNOWN")</f>
        <v>Pediatrics</v>
      </c>
      <c r="F42" s="21" t="str">
        <f>IF(COUNTBLANK(RAW_DATA!F42)=0,RAW_DATA!F42,"UNKNOWN")</f>
        <v>UNKNOWN</v>
      </c>
      <c r="G42" s="20" t="str">
        <f>IF(COUNTBLANK(RAW_DATA!G42)=0,RAW_DATA!G42,"UNKNOWN")</f>
        <v>01-03-2025</v>
      </c>
      <c r="H42" s="21" t="str">
        <f>IF(COUNTBLANK(RAW_DATA!H42)=0,RAW_DATA!H42,"UNKNOWN")</f>
        <v>10-03-2025</v>
      </c>
      <c r="I42" s="21">
        <f>IF(COUNTBLANK(RAW_DATA!L42)=0,RAW_DATA!L42,0)</f>
        <v>46506</v>
      </c>
      <c r="J42" s="21" t="str">
        <f>IF(COUNTBLANK(RAW_DATA!M42)=0,RAW_DATA!M42,"UNKNOWN")</f>
        <v>No</v>
      </c>
      <c r="K42" s="21" t="str">
        <f>IF(COUNTBLANK(RAW_DATA!N42)=0,RAW_DATA!N42,"UNKNOWN")</f>
        <v>UNKNOWN</v>
      </c>
      <c r="L42" s="21">
        <f t="shared" ca="1" si="0"/>
        <v>0</v>
      </c>
      <c r="M42" s="21" t="str">
        <f t="shared" ca="1" si="1"/>
        <v>FULLY_PAID</v>
      </c>
      <c r="N42" s="10">
        <f t="shared" ca="1" si="2"/>
        <v>273</v>
      </c>
    </row>
    <row r="43" spans="1:14">
      <c r="A43" s="21" t="str">
        <f>IF(COUNTBLANK(RAW_DATA!A43)=0,RAW_DATA!A43,"UNKNOWN")</f>
        <v>P1043</v>
      </c>
      <c r="B43" s="21" t="str">
        <f>IF(COUNTBLANK(RAW_DATA!B43)=0,RAW_DATA!B43,"UNKNOWN")</f>
        <v>Kiran</v>
      </c>
      <c r="C43" s="7">
        <f>IF(COUNTBLANK(RAW_DATA!C43)=0,RAW_DATA!C43,"N/A")</f>
        <v>13</v>
      </c>
      <c r="D43" s="21" t="str">
        <f>IF(COUNTBLANK(RAW_DATA!D43)=0,RAW_DATA!D43,"UNKNOWN")</f>
        <v>Male</v>
      </c>
      <c r="E43" s="21" t="str">
        <f>IF(COUNTBLANK(RAW_DATA!E43)=0,RAW_DATA!E43,"UNKNOWN")</f>
        <v>General</v>
      </c>
      <c r="F43" s="21" t="str">
        <f>IF(COUNTBLANK(RAW_DATA!F43)=0,RAW_DATA!F43,"UNKNOWN")</f>
        <v>Dr. Sen</v>
      </c>
      <c r="G43" s="20" t="str">
        <f>IF(COUNTBLANK(RAW_DATA!G43)=0,RAW_DATA!G43,"UNKNOWN")</f>
        <v>27-06-2025</v>
      </c>
      <c r="H43" s="21" t="str">
        <f>IF(COUNTBLANK(RAW_DATA!H43)=0,RAW_DATA!H43,"UNKNOWN")</f>
        <v>02-07-2025</v>
      </c>
      <c r="I43" s="21">
        <f>IF(COUNTBLANK(RAW_DATA!L43)=0,RAW_DATA!L43,0)</f>
        <v>29538</v>
      </c>
      <c r="J43" s="21" t="str">
        <f>IF(COUNTBLANK(RAW_DATA!M43)=0,RAW_DATA!M43,"UNKNOWN")</f>
        <v>No</v>
      </c>
      <c r="K43" s="21" t="str">
        <f>IF(COUNTBLANK(RAW_DATA!N43)=0,RAW_DATA!N43,"UNKNOWN")</f>
        <v>Pending</v>
      </c>
      <c r="L43" s="21" t="e">
        <f t="shared" ca="1" si="0"/>
        <v>#VALUE!</v>
      </c>
      <c r="M43" s="21" t="e">
        <f t="shared" ca="1" si="1"/>
        <v>#VALUE!</v>
      </c>
      <c r="N43" s="10" t="e">
        <f t="shared" ca="1" si="2"/>
        <v>#VALUE!</v>
      </c>
    </row>
    <row r="44" spans="1:14">
      <c r="A44" s="21" t="str">
        <f>IF(COUNTBLANK(RAW_DATA!A44)=0,RAW_DATA!A44,"UNKNOWN")</f>
        <v>P1044</v>
      </c>
      <c r="B44" s="21" t="str">
        <f>IF(COUNTBLANK(RAW_DATA!B44)=0,RAW_DATA!B44,"UNKNOWN")</f>
        <v>Sneha</v>
      </c>
      <c r="C44" s="7" t="str">
        <f>IF(COUNTBLANK(RAW_DATA!C44)=0,RAW_DATA!C44,"N/A")</f>
        <v>N/A</v>
      </c>
      <c r="D44" s="21" t="str">
        <f>IF(COUNTBLANK(RAW_DATA!D44)=0,RAW_DATA!D44,"UNKNOWN")</f>
        <v>Female</v>
      </c>
      <c r="E44" s="21" t="str">
        <f>IF(COUNTBLANK(RAW_DATA!E44)=0,RAW_DATA!E44,"UNKNOWN")</f>
        <v>General</v>
      </c>
      <c r="F44" s="21" t="str">
        <f>IF(COUNTBLANK(RAW_DATA!F44)=0,RAW_DATA!F44,"UNKNOWN")</f>
        <v>Dr. Sen</v>
      </c>
      <c r="G44" s="20" t="str">
        <f>IF(COUNTBLANK(RAW_DATA!G44)=0,RAW_DATA!G44,"UNKNOWN")</f>
        <v>11-08-2025</v>
      </c>
      <c r="H44" s="21" t="str">
        <f>IF(COUNTBLANK(RAW_DATA!H44)=0,RAW_DATA!H44,"UNKNOWN")</f>
        <v>20-08-2025</v>
      </c>
      <c r="I44" s="21">
        <f>IF(COUNTBLANK(RAW_DATA!L44)=0,RAW_DATA!L44,0)</f>
        <v>41927</v>
      </c>
      <c r="J44" s="21" t="str">
        <f>IF(COUNTBLANK(RAW_DATA!M44)=0,RAW_DATA!M44,"UNKNOWN")</f>
        <v>Yes</v>
      </c>
      <c r="K44" s="21" t="str">
        <f>IF(COUNTBLANK(RAW_DATA!N44)=0,RAW_DATA!N44,"UNKNOWN")</f>
        <v>Paid</v>
      </c>
      <c r="L44" s="21">
        <f t="shared" ca="1" si="0"/>
        <v>0</v>
      </c>
      <c r="M44" s="21" t="str">
        <f t="shared" ca="1" si="1"/>
        <v>FULLY_PAID</v>
      </c>
      <c r="N44" s="10" t="e">
        <f t="shared" ca="1" si="2"/>
        <v>#VALUE!</v>
      </c>
    </row>
    <row r="45" spans="1:14">
      <c r="A45" s="21" t="str">
        <f>IF(COUNTBLANK(RAW_DATA!A45)=0,RAW_DATA!A45,"UNKNOWN")</f>
        <v>P1045</v>
      </c>
      <c r="B45" s="21" t="str">
        <f>IF(COUNTBLANK(RAW_DATA!B45)=0,RAW_DATA!B45,"UNKNOWN")</f>
        <v xml:space="preserve">Arjun </v>
      </c>
      <c r="C45" s="7" t="str">
        <f>IF(COUNTBLANK(RAW_DATA!C45)=0,RAW_DATA!C45,"N/A")</f>
        <v>N/A</v>
      </c>
      <c r="D45" s="21" t="str">
        <f>IF(COUNTBLANK(RAW_DATA!D45)=0,RAW_DATA!D45,"UNKNOWN")</f>
        <v>Female</v>
      </c>
      <c r="E45" s="21" t="str">
        <f>IF(COUNTBLANK(RAW_DATA!E45)=0,RAW_DATA!E45,"UNKNOWN")</f>
        <v>Cardiology</v>
      </c>
      <c r="F45" s="21" t="str">
        <f>IF(COUNTBLANK(RAW_DATA!F45)=0,RAW_DATA!F45,"UNKNOWN")</f>
        <v>Dr. Khan</v>
      </c>
      <c r="G45" s="20" t="str">
        <f>IF(COUNTBLANK(RAW_DATA!G45)=0,RAW_DATA!G45,"UNKNOWN")</f>
        <v>27-08-2025</v>
      </c>
      <c r="H45" s="21" t="str">
        <f>IF(COUNTBLANK(RAW_DATA!H45)=0,RAW_DATA!H45,"UNKNOWN")</f>
        <v>31-08-2025</v>
      </c>
      <c r="I45" s="21">
        <f>IF(COUNTBLANK(RAW_DATA!L45)=0,RAW_DATA!L45,0)</f>
        <v>45823</v>
      </c>
      <c r="J45" s="21" t="str">
        <f>IF(COUNTBLANK(RAW_DATA!M45)=0,RAW_DATA!M45,"UNKNOWN")</f>
        <v>UNKNOWN</v>
      </c>
      <c r="K45" s="21" t="str">
        <f>IF(COUNTBLANK(RAW_DATA!N45)=0,RAW_DATA!N45,"UNKNOWN")</f>
        <v>Paid</v>
      </c>
      <c r="L45" s="21">
        <f t="shared" ca="1" si="0"/>
        <v>0</v>
      </c>
      <c r="M45" s="21" t="str">
        <f t="shared" ca="1" si="1"/>
        <v>FULLY_PAID</v>
      </c>
      <c r="N45" s="10" t="e">
        <f t="shared" ca="1" si="2"/>
        <v>#VALUE!</v>
      </c>
    </row>
    <row r="46" spans="1:14">
      <c r="A46" s="21" t="str">
        <f>IF(COUNTBLANK(RAW_DATA!A46)=0,RAW_DATA!A46,"UNKNOWN")</f>
        <v>UNKNOWN</v>
      </c>
      <c r="B46" s="21" t="str">
        <f>IF(COUNTBLANK(RAW_DATA!B46)=0,RAW_DATA!B46,"UNKNOWN")</f>
        <v xml:space="preserve">Ananya </v>
      </c>
      <c r="C46" s="7">
        <f>IF(COUNTBLANK(RAW_DATA!C46)=0,RAW_DATA!C46,"N/A")</f>
        <v>1</v>
      </c>
      <c r="D46" s="21" t="str">
        <f>IF(COUNTBLANK(RAW_DATA!D46)=0,RAW_DATA!D46,"UNKNOWN")</f>
        <v>Female</v>
      </c>
      <c r="E46" s="21" t="str">
        <f>IF(COUNTBLANK(RAW_DATA!E46)=0,RAW_DATA!E46,"UNKNOWN")</f>
        <v>Orthopedics</v>
      </c>
      <c r="F46" s="21" t="str">
        <f>IF(COUNTBLANK(RAW_DATA!F46)=0,RAW_DATA!F46,"UNKNOWN")</f>
        <v>Dr. Khan</v>
      </c>
      <c r="G46" s="20" t="str">
        <f>IF(COUNTBLANK(RAW_DATA!G46)=0,RAW_DATA!G46,"UNKNOWN")</f>
        <v>27-08-2025</v>
      </c>
      <c r="H46" s="21" t="str">
        <f>IF(COUNTBLANK(RAW_DATA!H46)=0,RAW_DATA!H46,"UNKNOWN")</f>
        <v>06-09-2025</v>
      </c>
      <c r="I46" s="21">
        <f>IF(COUNTBLANK(RAW_DATA!L46)=0,RAW_DATA!L46,0)</f>
        <v>25495</v>
      </c>
      <c r="J46" s="21" t="str">
        <f>IF(COUNTBLANK(RAW_DATA!M46)=0,RAW_DATA!M46,"UNKNOWN")</f>
        <v>Yes</v>
      </c>
      <c r="K46" s="21" t="str">
        <f>IF(COUNTBLANK(RAW_DATA!N46)=0,RAW_DATA!N46,"UNKNOWN")</f>
        <v>Paid</v>
      </c>
      <c r="L46" s="21">
        <f t="shared" ca="1" si="0"/>
        <v>0</v>
      </c>
      <c r="M46" s="21" t="str">
        <f t="shared" ca="1" si="1"/>
        <v>FULLY_PAID</v>
      </c>
      <c r="N46" s="10" t="e">
        <f t="shared" ca="1" si="2"/>
        <v>#VALUE!</v>
      </c>
    </row>
    <row r="47" spans="1:14">
      <c r="A47" s="21" t="str">
        <f>IF(COUNTBLANK(RAW_DATA!A47)=0,RAW_DATA!A47,"UNKNOWN")</f>
        <v>P1047</v>
      </c>
      <c r="B47" s="21" t="str">
        <f>IF(COUNTBLANK(RAW_DATA!B47)=0,RAW_DATA!B47,"UNKNOWN")</f>
        <v xml:space="preserve">Priya </v>
      </c>
      <c r="C47" s="7" t="str">
        <f>IF(COUNTBLANK(RAW_DATA!C47)=0,RAW_DATA!C47,"N/A")</f>
        <v>N/A</v>
      </c>
      <c r="D47" s="21" t="str">
        <f>IF(COUNTBLANK(RAW_DATA!D47)=0,RAW_DATA!D47,"UNKNOWN")</f>
        <v>Female</v>
      </c>
      <c r="E47" s="21" t="str">
        <f>IF(COUNTBLANK(RAW_DATA!E47)=0,RAW_DATA!E47,"UNKNOWN")</f>
        <v>General</v>
      </c>
      <c r="F47" s="21" t="str">
        <f>IF(COUNTBLANK(RAW_DATA!F47)=0,RAW_DATA!F47,"UNKNOWN")</f>
        <v>Dr. Roy</v>
      </c>
      <c r="G47" s="20" t="str">
        <f>IF(COUNTBLANK(RAW_DATA!G47)=0,RAW_DATA!G47,"UNKNOWN")</f>
        <v>05-12-2025</v>
      </c>
      <c r="H47" s="21" t="str">
        <f>IF(COUNTBLANK(RAW_DATA!H47)=0,RAW_DATA!H47,"UNKNOWN")</f>
        <v>13-12-2025</v>
      </c>
      <c r="I47" s="21">
        <f>IF(COUNTBLANK(RAW_DATA!L47)=0,RAW_DATA!L47,0)</f>
        <v>50235</v>
      </c>
      <c r="J47" s="21" t="str">
        <f>IF(COUNTBLANK(RAW_DATA!M47)=0,RAW_DATA!M47,"UNKNOWN")</f>
        <v>Yes</v>
      </c>
      <c r="K47" s="21" t="str">
        <f>IF(COUNTBLANK(RAW_DATA!N47)=0,RAW_DATA!N47,"UNKNOWN")</f>
        <v>Paid</v>
      </c>
      <c r="L47" s="21">
        <f t="shared" ca="1" si="0"/>
        <v>0</v>
      </c>
      <c r="M47" s="21" t="str">
        <f t="shared" ca="1" si="1"/>
        <v>FULLY_PAID</v>
      </c>
      <c r="N47" s="10" t="e">
        <f t="shared" ca="1" si="2"/>
        <v>#VALUE!</v>
      </c>
    </row>
    <row r="48" spans="1:14">
      <c r="A48" s="21" t="str">
        <f>IF(COUNTBLANK(RAW_DATA!A48)=0,RAW_DATA!A48,"UNKNOWN")</f>
        <v>P1048</v>
      </c>
      <c r="B48" s="21" t="str">
        <f>IF(COUNTBLANK(RAW_DATA!B48)=0,RAW_DATA!B48,"UNKNOWN")</f>
        <v>Arjun</v>
      </c>
      <c r="C48" s="7">
        <f>IF(COUNTBLANK(RAW_DATA!C48)=0,RAW_DATA!C48,"N/A")</f>
        <v>13</v>
      </c>
      <c r="D48" s="21" t="str">
        <f>IF(COUNTBLANK(RAW_DATA!D48)=0,RAW_DATA!D48,"UNKNOWN")</f>
        <v>Female</v>
      </c>
      <c r="E48" s="21" t="str">
        <f>IF(COUNTBLANK(RAW_DATA!E48)=0,RAW_DATA!E48,"UNKNOWN")</f>
        <v>Neurology</v>
      </c>
      <c r="F48" s="21" t="str">
        <f>IF(COUNTBLANK(RAW_DATA!F48)=0,RAW_DATA!F48,"UNKNOWN")</f>
        <v>Dr. Ghosh</v>
      </c>
      <c r="G48" s="20" t="str">
        <f>IF(COUNTBLANK(RAW_DATA!G48)=0,RAW_DATA!G48,"UNKNOWN")</f>
        <v>25-09-2025</v>
      </c>
      <c r="H48" s="21" t="str">
        <f>IF(COUNTBLANK(RAW_DATA!H48)=0,RAW_DATA!H48,"UNKNOWN")</f>
        <v>03-10-2025</v>
      </c>
      <c r="I48" s="21">
        <f>IF(COUNTBLANK(RAW_DATA!L48)=0,RAW_DATA!L48,0)</f>
        <v>21604</v>
      </c>
      <c r="J48" s="21" t="str">
        <f>IF(COUNTBLANK(RAW_DATA!M48)=0,RAW_DATA!M48,"UNKNOWN")</f>
        <v>Yes</v>
      </c>
      <c r="K48" s="21" t="str">
        <f>IF(COUNTBLANK(RAW_DATA!N48)=0,RAW_DATA!N48,"UNKNOWN")</f>
        <v>Pending</v>
      </c>
      <c r="L48" s="21" t="e">
        <f t="shared" ca="1" si="0"/>
        <v>#VALUE!</v>
      </c>
      <c r="M48" s="21" t="e">
        <f t="shared" ca="1" si="1"/>
        <v>#VALUE!</v>
      </c>
      <c r="N48" s="10" t="e">
        <f t="shared" ca="1" si="2"/>
        <v>#VALUE!</v>
      </c>
    </row>
    <row r="49" spans="1:14">
      <c r="A49" s="21" t="str">
        <f>IF(COUNTBLANK(RAW_DATA!A49)=0,RAW_DATA!A49,"UNKNOWN")</f>
        <v>P1049</v>
      </c>
      <c r="B49" s="21" t="str">
        <f>IF(COUNTBLANK(RAW_DATA!B49)=0,RAW_DATA!B49,"UNKNOWN")</f>
        <v xml:space="preserve">Ananya </v>
      </c>
      <c r="C49" s="7">
        <f>IF(COUNTBLANK(RAW_DATA!C49)=0,RAW_DATA!C49,"N/A")</f>
        <v>28</v>
      </c>
      <c r="D49" s="21" t="str">
        <f>IF(COUNTBLANK(RAW_DATA!D49)=0,RAW_DATA!D49,"UNKNOWN")</f>
        <v>Male</v>
      </c>
      <c r="E49" s="21" t="str">
        <f>IF(COUNTBLANK(RAW_DATA!E49)=0,RAW_DATA!E49,"UNKNOWN")</f>
        <v>Orthopedics</v>
      </c>
      <c r="F49" s="21" t="str">
        <f>IF(COUNTBLANK(RAW_DATA!F49)=0,RAW_DATA!F49,"UNKNOWN")</f>
        <v>Dr. Das</v>
      </c>
      <c r="G49" s="20" t="str">
        <f>IF(COUNTBLANK(RAW_DATA!G49)=0,RAW_DATA!G49,"UNKNOWN")</f>
        <v>31-05-2025</v>
      </c>
      <c r="H49" s="21" t="str">
        <f>IF(COUNTBLANK(RAW_DATA!H49)=0,RAW_DATA!H49,"UNKNOWN")</f>
        <v>06-06-2025</v>
      </c>
      <c r="I49" s="21">
        <f>IF(COUNTBLANK(RAW_DATA!L49)=0,RAW_DATA!L49,0)</f>
        <v>42638</v>
      </c>
      <c r="J49" s="21" t="str">
        <f>IF(COUNTBLANK(RAW_DATA!M49)=0,RAW_DATA!M49,"UNKNOWN")</f>
        <v>Yes</v>
      </c>
      <c r="K49" s="21" t="str">
        <f>IF(COUNTBLANK(RAW_DATA!N49)=0,RAW_DATA!N49,"UNKNOWN")</f>
        <v>Paid</v>
      </c>
      <c r="L49" s="21">
        <f t="shared" ca="1" si="0"/>
        <v>0</v>
      </c>
      <c r="M49" s="21" t="str">
        <f t="shared" ca="1" si="1"/>
        <v>FULLY_PAID</v>
      </c>
      <c r="N49" s="10" t="e">
        <f t="shared" ca="1" si="2"/>
        <v>#VALUE!</v>
      </c>
    </row>
    <row r="50" spans="1:14">
      <c r="A50" s="21" t="str">
        <f>IF(COUNTBLANK(RAW_DATA!A50)=0,RAW_DATA!A50,"UNKNOWN")</f>
        <v>P1050</v>
      </c>
      <c r="B50" s="21" t="str">
        <f>IF(COUNTBLANK(RAW_DATA!B50)=0,RAW_DATA!B50,"UNKNOWN")</f>
        <v>UNKNOWN</v>
      </c>
      <c r="C50" s="7" t="str">
        <f>IF(COUNTBLANK(RAW_DATA!C50)=0,RAW_DATA!C50,"N/A")</f>
        <v>N/A</v>
      </c>
      <c r="D50" s="21" t="str">
        <f>IF(COUNTBLANK(RAW_DATA!D50)=0,RAW_DATA!D50,"UNKNOWN")</f>
        <v>Male</v>
      </c>
      <c r="E50" s="21" t="str">
        <f>IF(COUNTBLANK(RAW_DATA!E50)=0,RAW_DATA!E50,"UNKNOWN")</f>
        <v>Neurology</v>
      </c>
      <c r="F50" s="21" t="str">
        <f>IF(COUNTBLANK(RAW_DATA!F50)=0,RAW_DATA!F50,"UNKNOWN")</f>
        <v>Dr. Das</v>
      </c>
      <c r="G50" s="20">
        <f>IF(COUNTBLANK(RAW_DATA!G50)=0,RAW_DATA!G50,"UNKNOWN")</f>
        <v>45794</v>
      </c>
      <c r="H50" s="21" t="str">
        <f>IF(COUNTBLANK(RAW_DATA!H50)=0,RAW_DATA!H50,"UNKNOWN")</f>
        <v>25-05-2025</v>
      </c>
      <c r="I50" s="21">
        <f>IF(COUNTBLANK(RAW_DATA!L50)=0,RAW_DATA!L50,0)</f>
        <v>26737</v>
      </c>
      <c r="J50" s="21" t="str">
        <f>IF(COUNTBLANK(RAW_DATA!M50)=0,RAW_DATA!M50,"UNKNOWN")</f>
        <v>Yes</v>
      </c>
      <c r="K50" s="21" t="str">
        <f>IF(COUNTBLANK(RAW_DATA!N50)=0,RAW_DATA!N50,"UNKNOWN")</f>
        <v>Pending</v>
      </c>
      <c r="L50" s="21">
        <f t="shared" ca="1" si="0"/>
        <v>368</v>
      </c>
      <c r="M50" s="21" t="str">
        <f t="shared" ca="1" si="1"/>
        <v>61+ DAYS OVERDUE</v>
      </c>
      <c r="N50" s="10" t="e">
        <f t="shared" ca="1" si="2"/>
        <v>#VALUE!</v>
      </c>
    </row>
    <row r="51" spans="1:14">
      <c r="A51" s="21" t="str">
        <f>IF(COUNTBLANK(RAW_DATA!A51)=0,RAW_DATA!A51,"UNKNOWN")</f>
        <v>P1051</v>
      </c>
      <c r="B51" s="21" t="str">
        <f>IF(COUNTBLANK(RAW_DATA!B51)=0,RAW_DATA!B51,"UNKNOWN")</f>
        <v>Rohit</v>
      </c>
      <c r="C51" s="7">
        <f>IF(COUNTBLANK(RAW_DATA!C51)=0,RAW_DATA!C51,"N/A")</f>
        <v>51</v>
      </c>
      <c r="D51" s="21" t="str">
        <f>IF(COUNTBLANK(RAW_DATA!D51)=0,RAW_DATA!D51,"UNKNOWN")</f>
        <v>Female</v>
      </c>
      <c r="E51" s="21" t="str">
        <f>IF(COUNTBLANK(RAW_DATA!E51)=0,RAW_DATA!E51,"UNKNOWN")</f>
        <v>Pediatrics</v>
      </c>
      <c r="F51" s="21" t="str">
        <f>IF(COUNTBLANK(RAW_DATA!F51)=0,RAW_DATA!F51,"UNKNOWN")</f>
        <v>Dr. Das</v>
      </c>
      <c r="G51" s="20" t="str">
        <f>IF(COUNTBLANK(RAW_DATA!G51)=0,RAW_DATA!G51,"UNKNOWN")</f>
        <v>22-05-2025</v>
      </c>
      <c r="H51" s="21" t="str">
        <f>IF(COUNTBLANK(RAW_DATA!H51)=0,RAW_DATA!H51,"UNKNOWN")</f>
        <v>31-05-2025</v>
      </c>
      <c r="I51" s="21">
        <f>IF(COUNTBLANK(RAW_DATA!L51)=0,RAW_DATA!L51,0)</f>
        <v>39536</v>
      </c>
      <c r="J51" s="21" t="str">
        <f>IF(COUNTBLANK(RAW_DATA!M51)=0,RAW_DATA!M51,"UNKNOWN")</f>
        <v>Yes</v>
      </c>
      <c r="K51" s="21" t="str">
        <f>IF(COUNTBLANK(RAW_DATA!N51)=0,RAW_DATA!N51,"UNKNOWN")</f>
        <v>Pending</v>
      </c>
      <c r="L51" s="21" t="e">
        <f t="shared" ca="1" si="0"/>
        <v>#VALUE!</v>
      </c>
      <c r="M51" s="21" t="e">
        <f t="shared" ca="1" si="1"/>
        <v>#VALUE!</v>
      </c>
      <c r="N51" s="10" t="e">
        <f t="shared" ca="1" si="2"/>
        <v>#VALUE!</v>
      </c>
    </row>
    <row r="52" spans="1:14">
      <c r="A52" s="21" t="str">
        <f>IF(COUNTBLANK(RAW_DATA!A52)=0,RAW_DATA!A52,"UNKNOWN")</f>
        <v>UNKNOWN</v>
      </c>
      <c r="B52" s="21" t="str">
        <f>IF(COUNTBLANK(RAW_DATA!B52)=0,RAW_DATA!B52,"UNKNOWN")</f>
        <v>Sneha</v>
      </c>
      <c r="C52" s="7" t="str">
        <f>IF(COUNTBLANK(RAW_DATA!C52)=0,RAW_DATA!C52,"N/A")</f>
        <v>N/A</v>
      </c>
      <c r="D52" s="21" t="str">
        <f>IF(COUNTBLANK(RAW_DATA!D52)=0,RAW_DATA!D52,"UNKNOWN")</f>
        <v>Male</v>
      </c>
      <c r="E52" s="21" t="str">
        <f>IF(COUNTBLANK(RAW_DATA!E52)=0,RAW_DATA!E52,"UNKNOWN")</f>
        <v>Pediatrics</v>
      </c>
      <c r="F52" s="21" t="str">
        <f>IF(COUNTBLANK(RAW_DATA!F52)=0,RAW_DATA!F52,"UNKNOWN")</f>
        <v>Dr. Das</v>
      </c>
      <c r="G52" s="20" t="str">
        <f>IF(COUNTBLANK(RAW_DATA!G52)=0,RAW_DATA!G52,"UNKNOWN")</f>
        <v>17-04-2025</v>
      </c>
      <c r="H52" s="21" t="str">
        <f>IF(COUNTBLANK(RAW_DATA!H52)=0,RAW_DATA!H52,"UNKNOWN")</f>
        <v>20-04-2025</v>
      </c>
      <c r="I52" s="21">
        <f>IF(COUNTBLANK(RAW_DATA!L52)=0,RAW_DATA!L52,0)</f>
        <v>21466</v>
      </c>
      <c r="J52" s="21" t="str">
        <f>IF(COUNTBLANK(RAW_DATA!M52)=0,RAW_DATA!M52,"UNKNOWN")</f>
        <v>No</v>
      </c>
      <c r="K52" s="21" t="str">
        <f>IF(COUNTBLANK(RAW_DATA!N52)=0,RAW_DATA!N52,"UNKNOWN")</f>
        <v>Paid</v>
      </c>
      <c r="L52" s="21">
        <f t="shared" ca="1" si="0"/>
        <v>0</v>
      </c>
      <c r="M52" s="21" t="str">
        <f t="shared" ca="1" si="1"/>
        <v>FULLY_PAID</v>
      </c>
      <c r="N52" s="10" t="e">
        <f t="shared" ca="1" si="2"/>
        <v>#VALUE!</v>
      </c>
    </row>
    <row r="53" spans="1:14">
      <c r="A53" s="21" t="str">
        <f>IF(COUNTBLANK(RAW_DATA!A53)=0,RAW_DATA!A53,"UNKNOWN")</f>
        <v>P1053</v>
      </c>
      <c r="B53" s="21" t="str">
        <f>IF(COUNTBLANK(RAW_DATA!B53)=0,RAW_DATA!B53,"UNKNOWN")</f>
        <v>Rohit</v>
      </c>
      <c r="C53" s="7">
        <f>IF(COUNTBLANK(RAW_DATA!C53)=0,RAW_DATA!C53,"N/A")</f>
        <v>15</v>
      </c>
      <c r="D53" s="21" t="str">
        <f>IF(COUNTBLANK(RAW_DATA!D53)=0,RAW_DATA!D53,"UNKNOWN")</f>
        <v>Male</v>
      </c>
      <c r="E53" s="21" t="str">
        <f>IF(COUNTBLANK(RAW_DATA!E53)=0,RAW_DATA!E53,"UNKNOWN")</f>
        <v>Cardiology</v>
      </c>
      <c r="F53" s="21" t="str">
        <f>IF(COUNTBLANK(RAW_DATA!F53)=0,RAW_DATA!F53,"UNKNOWN")</f>
        <v>Dr. Ghosh</v>
      </c>
      <c r="G53" s="20" t="str">
        <f>IF(COUNTBLANK(RAW_DATA!G53)=0,RAW_DATA!G53,"UNKNOWN")</f>
        <v>05-08-2025</v>
      </c>
      <c r="H53" s="21" t="str">
        <f>IF(COUNTBLANK(RAW_DATA!H53)=0,RAW_DATA!H53,"UNKNOWN")</f>
        <v>UNKNOWN</v>
      </c>
      <c r="I53" s="21">
        <f>IF(COUNTBLANK(RAW_DATA!L53)=0,RAW_DATA!L53,0)</f>
        <v>35094</v>
      </c>
      <c r="J53" s="21" t="str">
        <f>IF(COUNTBLANK(RAW_DATA!M53)=0,RAW_DATA!M53,"UNKNOWN")</f>
        <v>No</v>
      </c>
      <c r="K53" s="21" t="str">
        <f>IF(COUNTBLANK(RAW_DATA!N53)=0,RAW_DATA!N53,"UNKNOWN")</f>
        <v>Pending</v>
      </c>
      <c r="L53" s="21">
        <f t="shared" ca="1" si="0"/>
        <v>377</v>
      </c>
      <c r="M53" s="21" t="str">
        <f t="shared" ca="1" si="1"/>
        <v>61+ DAYS OVERDUE</v>
      </c>
      <c r="N53" s="10">
        <f t="shared" ca="1" si="2"/>
        <v>377</v>
      </c>
    </row>
    <row r="54" spans="1:14">
      <c r="A54" s="21" t="str">
        <f>IF(COUNTBLANK(RAW_DATA!A54)=0,RAW_DATA!A54,"UNKNOWN")</f>
        <v>P1054</v>
      </c>
      <c r="B54" s="21" t="str">
        <f>IF(COUNTBLANK(RAW_DATA!B54)=0,RAW_DATA!B54,"UNKNOWN")</f>
        <v>UNKNOWN</v>
      </c>
      <c r="C54" s="7" t="str">
        <f>IF(COUNTBLANK(RAW_DATA!C54)=0,RAW_DATA!C54,"N/A")</f>
        <v>N/A</v>
      </c>
      <c r="D54" s="21" t="str">
        <f>IF(COUNTBLANK(RAW_DATA!D54)=0,RAW_DATA!D54,"UNKNOWN")</f>
        <v>Male</v>
      </c>
      <c r="E54" s="21" t="str">
        <f>IF(COUNTBLANK(RAW_DATA!E54)=0,RAW_DATA!E54,"UNKNOWN")</f>
        <v>UNKNOWN</v>
      </c>
      <c r="F54" s="21" t="str">
        <f>IF(COUNTBLANK(RAW_DATA!F54)=0,RAW_DATA!F54,"UNKNOWN")</f>
        <v>UNKNOWN</v>
      </c>
      <c r="G54" s="20" t="str">
        <f>IF(COUNTBLANK(RAW_DATA!G54)=0,RAW_DATA!G54,"UNKNOWN")</f>
        <v>18-11-2025</v>
      </c>
      <c r="H54" s="21" t="str">
        <f>IF(COUNTBLANK(RAW_DATA!H54)=0,RAW_DATA!H54,"UNKNOWN")</f>
        <v>21-11-2025</v>
      </c>
      <c r="I54" s="21">
        <f>IF(COUNTBLANK(RAW_DATA!L54)=0,RAW_DATA!L54,0)</f>
        <v>54760</v>
      </c>
      <c r="J54" s="21" t="str">
        <f>IF(COUNTBLANK(RAW_DATA!M54)=0,RAW_DATA!M54,"UNKNOWN")</f>
        <v>Yes</v>
      </c>
      <c r="K54" s="21" t="str">
        <f>IF(COUNTBLANK(RAW_DATA!N54)=0,RAW_DATA!N54,"UNKNOWN")</f>
        <v>Pending</v>
      </c>
      <c r="L54" s="21" t="e">
        <f t="shared" ca="1" si="0"/>
        <v>#VALUE!</v>
      </c>
      <c r="M54" s="21" t="e">
        <f t="shared" ca="1" si="1"/>
        <v>#VALUE!</v>
      </c>
      <c r="N54" s="10" t="e">
        <f t="shared" ca="1" si="2"/>
        <v>#VALUE!</v>
      </c>
    </row>
    <row r="55" spans="1:14">
      <c r="A55" s="21" t="str">
        <f>IF(COUNTBLANK(RAW_DATA!A55)=0,RAW_DATA!A55,"UNKNOWN")</f>
        <v>P1055</v>
      </c>
      <c r="B55" s="21" t="str">
        <f>IF(COUNTBLANK(RAW_DATA!B55)=0,RAW_DATA!B55,"UNKNOWN")</f>
        <v>Arjun</v>
      </c>
      <c r="C55" s="7" t="str">
        <f>IF(COUNTBLANK(RAW_DATA!C55)=0,RAW_DATA!C55,"N/A")</f>
        <v>N/A</v>
      </c>
      <c r="D55" s="21" t="str">
        <f>IF(COUNTBLANK(RAW_DATA!D55)=0,RAW_DATA!D55,"UNKNOWN")</f>
        <v>Male</v>
      </c>
      <c r="E55" s="21" t="str">
        <f>IF(COUNTBLANK(RAW_DATA!E55)=0,RAW_DATA!E55,"UNKNOWN")</f>
        <v>General</v>
      </c>
      <c r="F55" s="21" t="str">
        <f>IF(COUNTBLANK(RAW_DATA!F55)=0,RAW_DATA!F55,"UNKNOWN")</f>
        <v>Dr. Ghosh</v>
      </c>
      <c r="G55" s="20" t="str">
        <f>IF(COUNTBLANK(RAW_DATA!G55)=0,RAW_DATA!G55,"UNKNOWN")</f>
        <v>15-06-2025</v>
      </c>
      <c r="H55" s="21" t="str">
        <f>IF(COUNTBLANK(RAW_DATA!H55)=0,RAW_DATA!H55,"UNKNOWN")</f>
        <v>18-06-2025</v>
      </c>
      <c r="I55" s="21">
        <f>IF(COUNTBLANK(RAW_DATA!L55)=0,RAW_DATA!L55,0)</f>
        <v>21317</v>
      </c>
      <c r="J55" s="21" t="str">
        <f>IF(COUNTBLANK(RAW_DATA!M55)=0,RAW_DATA!M55,"UNKNOWN")</f>
        <v>No</v>
      </c>
      <c r="K55" s="21" t="str">
        <f>IF(COUNTBLANK(RAW_DATA!N55)=0,RAW_DATA!N55,"UNKNOWN")</f>
        <v>Pending</v>
      </c>
      <c r="L55" s="21" t="e">
        <f t="shared" ca="1" si="0"/>
        <v>#VALUE!</v>
      </c>
      <c r="M55" s="21" t="e">
        <f t="shared" ca="1" si="1"/>
        <v>#VALUE!</v>
      </c>
      <c r="N55" s="10" t="e">
        <f t="shared" ca="1" si="2"/>
        <v>#VALUE!</v>
      </c>
    </row>
    <row r="56" spans="1:14">
      <c r="A56" s="21" t="str">
        <f>IF(COUNTBLANK(RAW_DATA!A56)=0,RAW_DATA!A56,"UNKNOWN")</f>
        <v>UNKNOWN</v>
      </c>
      <c r="B56" s="21" t="str">
        <f>IF(COUNTBLANK(RAW_DATA!B56)=0,RAW_DATA!B56,"UNKNOWN")</f>
        <v>Priya</v>
      </c>
      <c r="C56" s="7">
        <f>IF(COUNTBLANK(RAW_DATA!C56)=0,RAW_DATA!C56,"N/A")</f>
        <v>72</v>
      </c>
      <c r="D56" s="21" t="str">
        <f>IF(COUNTBLANK(RAW_DATA!D56)=0,RAW_DATA!D56,"UNKNOWN")</f>
        <v>Female</v>
      </c>
      <c r="E56" s="21" t="str">
        <f>IF(COUNTBLANK(RAW_DATA!E56)=0,RAW_DATA!E56,"UNKNOWN")</f>
        <v>General</v>
      </c>
      <c r="F56" s="21" t="str">
        <f>IF(COUNTBLANK(RAW_DATA!F56)=0,RAW_DATA!F56,"UNKNOWN")</f>
        <v>UNKNOWN</v>
      </c>
      <c r="G56" s="20" t="str">
        <f>IF(COUNTBLANK(RAW_DATA!G56)=0,RAW_DATA!G56,"UNKNOWN")</f>
        <v>11-03-2025</v>
      </c>
      <c r="H56" s="21" t="str">
        <f>IF(COUNTBLANK(RAW_DATA!H56)=0,RAW_DATA!H56,"UNKNOWN")</f>
        <v>12-03-2025</v>
      </c>
      <c r="I56" s="21">
        <f>IF(COUNTBLANK(RAW_DATA!L56)=0,RAW_DATA!L56,0)</f>
        <v>37469</v>
      </c>
      <c r="J56" s="21" t="str">
        <f>IF(COUNTBLANK(RAW_DATA!M56)=0,RAW_DATA!M56,"UNKNOWN")</f>
        <v>Yes</v>
      </c>
      <c r="K56" s="21" t="str">
        <f>IF(COUNTBLANK(RAW_DATA!N56)=0,RAW_DATA!N56,"UNKNOWN")</f>
        <v>Pending</v>
      </c>
      <c r="L56" s="21">
        <f t="shared" ca="1" si="0"/>
        <v>198</v>
      </c>
      <c r="M56" s="21" t="str">
        <f t="shared" ca="1" si="1"/>
        <v>61+ DAYS OVERDUE</v>
      </c>
      <c r="N56" s="10">
        <f t="shared" ca="1" si="2"/>
        <v>30</v>
      </c>
    </row>
    <row r="57" spans="1:14">
      <c r="A57" s="21" t="str">
        <f>IF(COUNTBLANK(RAW_DATA!A57)=0,RAW_DATA!A57,"UNKNOWN")</f>
        <v>P1057</v>
      </c>
      <c r="B57" s="21" t="str">
        <f>IF(COUNTBLANK(RAW_DATA!B57)=0,RAW_DATA!B57,"UNKNOWN")</f>
        <v>Kiran</v>
      </c>
      <c r="C57" s="7" t="str">
        <f>IF(COUNTBLANK(RAW_DATA!C57)=0,RAW_DATA!C57,"N/A")</f>
        <v>N/A</v>
      </c>
      <c r="D57" s="21" t="str">
        <f>IF(COUNTBLANK(RAW_DATA!D57)=0,RAW_DATA!D57,"UNKNOWN")</f>
        <v>Male</v>
      </c>
      <c r="E57" s="21" t="str">
        <f>IF(COUNTBLANK(RAW_DATA!E57)=0,RAW_DATA!E57,"UNKNOWN")</f>
        <v>Pediatrics</v>
      </c>
      <c r="F57" s="21" t="str">
        <f>IF(COUNTBLANK(RAW_DATA!F57)=0,RAW_DATA!F57,"UNKNOWN")</f>
        <v>Dr. Sen</v>
      </c>
      <c r="G57" s="20" t="str">
        <f>IF(COUNTBLANK(RAW_DATA!G57)=0,RAW_DATA!G57,"UNKNOWN")</f>
        <v>20-07-2025</v>
      </c>
      <c r="H57" s="21" t="str">
        <f>IF(COUNTBLANK(RAW_DATA!H57)=0,RAW_DATA!H57,"UNKNOWN")</f>
        <v>25-07-2025</v>
      </c>
      <c r="I57" s="21">
        <f>IF(COUNTBLANK(RAW_DATA!L57)=0,RAW_DATA!L57,0)</f>
        <v>9378</v>
      </c>
      <c r="J57" s="21" t="str">
        <f>IF(COUNTBLANK(RAW_DATA!M57)=0,RAW_DATA!M57,"UNKNOWN")</f>
        <v>No</v>
      </c>
      <c r="K57" s="21" t="str">
        <f>IF(COUNTBLANK(RAW_DATA!N57)=0,RAW_DATA!N57,"UNKNOWN")</f>
        <v>Paid</v>
      </c>
      <c r="L57" s="21">
        <f t="shared" ca="1" si="0"/>
        <v>0</v>
      </c>
      <c r="M57" s="21" t="str">
        <f t="shared" ca="1" si="1"/>
        <v>FULLY_PAID</v>
      </c>
      <c r="N57" s="10" t="e">
        <f t="shared" ca="1" si="2"/>
        <v>#VALUE!</v>
      </c>
    </row>
    <row r="58" spans="1:14">
      <c r="A58" s="21" t="str">
        <f>IF(COUNTBLANK(RAW_DATA!A58)=0,RAW_DATA!A58,"UNKNOWN")</f>
        <v>P1058</v>
      </c>
      <c r="B58" s="21" t="str">
        <f>IF(COUNTBLANK(RAW_DATA!B58)=0,RAW_DATA!B58,"UNKNOWN")</f>
        <v>Neha</v>
      </c>
      <c r="C58" s="7">
        <f>IF(COUNTBLANK(RAW_DATA!C58)=0,RAW_DATA!C58,"N/A")</f>
        <v>32</v>
      </c>
      <c r="D58" s="21" t="str">
        <f>IF(COUNTBLANK(RAW_DATA!D58)=0,RAW_DATA!D58,"UNKNOWN")</f>
        <v>Female</v>
      </c>
      <c r="E58" s="21" t="str">
        <f>IF(COUNTBLANK(RAW_DATA!E58)=0,RAW_DATA!E58,"UNKNOWN")</f>
        <v>UNKNOWN</v>
      </c>
      <c r="F58" s="21" t="str">
        <f>IF(COUNTBLANK(RAW_DATA!F58)=0,RAW_DATA!F58,"UNKNOWN")</f>
        <v>Dr. Roy</v>
      </c>
      <c r="G58" s="20" t="str">
        <f>IF(COUNTBLANK(RAW_DATA!G58)=0,RAW_DATA!G58,"UNKNOWN")</f>
        <v>20-09-2025</v>
      </c>
      <c r="H58" s="21" t="str">
        <f>IF(COUNTBLANK(RAW_DATA!H58)=0,RAW_DATA!H58,"UNKNOWN")</f>
        <v>UNKNOWN</v>
      </c>
      <c r="I58" s="21">
        <f>IF(COUNTBLANK(RAW_DATA!L58)=0,RAW_DATA!L58,0)</f>
        <v>42824</v>
      </c>
      <c r="J58" s="21" t="str">
        <f>IF(COUNTBLANK(RAW_DATA!M58)=0,RAW_DATA!M58,"UNKNOWN")</f>
        <v>No</v>
      </c>
      <c r="K58" s="21" t="str">
        <f>IF(COUNTBLANK(RAW_DATA!N58)=0,RAW_DATA!N58,"UNKNOWN")</f>
        <v>Paid</v>
      </c>
      <c r="L58" s="21">
        <f t="shared" ca="1" si="0"/>
        <v>0</v>
      </c>
      <c r="M58" s="21" t="str">
        <f t="shared" ca="1" si="1"/>
        <v>FULLY_PAID</v>
      </c>
      <c r="N58" s="10" t="e">
        <f t="shared" ca="1" si="2"/>
        <v>#VALUE!</v>
      </c>
    </row>
    <row r="59" spans="1:14">
      <c r="A59" s="21" t="str">
        <f>IF(COUNTBLANK(RAW_DATA!A59)=0,RAW_DATA!A59,"UNKNOWN")</f>
        <v>P1059</v>
      </c>
      <c r="B59" s="21" t="str">
        <f>IF(COUNTBLANK(RAW_DATA!B59)=0,RAW_DATA!B59,"UNKNOWN")</f>
        <v>Priya</v>
      </c>
      <c r="C59" s="7">
        <f>IF(COUNTBLANK(RAW_DATA!C59)=0,RAW_DATA!C59,"N/A")</f>
        <v>66</v>
      </c>
      <c r="D59" s="21" t="str">
        <f>IF(COUNTBLANK(RAW_DATA!D59)=0,RAW_DATA!D59,"UNKNOWN")</f>
        <v>Female</v>
      </c>
      <c r="E59" s="21" t="str">
        <f>IF(COUNTBLANK(RAW_DATA!E59)=0,RAW_DATA!E59,"UNKNOWN")</f>
        <v>General</v>
      </c>
      <c r="F59" s="21" t="str">
        <f>IF(COUNTBLANK(RAW_DATA!F59)=0,RAW_DATA!F59,"UNKNOWN")</f>
        <v>UNKNOWN</v>
      </c>
      <c r="G59" s="20" t="str">
        <f>IF(COUNTBLANK(RAW_DATA!G59)=0,RAW_DATA!G59,"UNKNOWN")</f>
        <v>02-08-2025</v>
      </c>
      <c r="H59" s="21" t="str">
        <f>IF(COUNTBLANK(RAW_DATA!H59)=0,RAW_DATA!H59,"UNKNOWN")</f>
        <v>06-08-2025</v>
      </c>
      <c r="I59" s="21">
        <f>IF(COUNTBLANK(RAW_DATA!L59)=0,RAW_DATA!L59,0)</f>
        <v>54713</v>
      </c>
      <c r="J59" s="21" t="str">
        <f>IF(COUNTBLANK(RAW_DATA!M59)=0,RAW_DATA!M59,"UNKNOWN")</f>
        <v>Yes</v>
      </c>
      <c r="K59" s="21" t="str">
        <f>IF(COUNTBLANK(RAW_DATA!N59)=0,RAW_DATA!N59,"UNKNOWN")</f>
        <v>Paid</v>
      </c>
      <c r="L59" s="21">
        <f t="shared" ca="1" si="0"/>
        <v>0</v>
      </c>
      <c r="M59" s="21" t="str">
        <f t="shared" ca="1" si="1"/>
        <v>FULLY_PAID</v>
      </c>
      <c r="N59" s="10">
        <f t="shared" ca="1" si="2"/>
        <v>120</v>
      </c>
    </row>
    <row r="60" spans="1:14">
      <c r="A60" s="21" t="str">
        <f>IF(COUNTBLANK(RAW_DATA!A60)=0,RAW_DATA!A60,"UNKNOWN")</f>
        <v>P1060</v>
      </c>
      <c r="B60" s="21" t="str">
        <f>IF(COUNTBLANK(RAW_DATA!B60)=0,RAW_DATA!B60,"UNKNOWN")</f>
        <v>Kiran</v>
      </c>
      <c r="C60" s="7">
        <f>IF(COUNTBLANK(RAW_DATA!C60)=0,RAW_DATA!C60,"N/A")</f>
        <v>35</v>
      </c>
      <c r="D60" s="21" t="str">
        <f>IF(COUNTBLANK(RAW_DATA!D60)=0,RAW_DATA!D60,"UNKNOWN")</f>
        <v>Female</v>
      </c>
      <c r="E60" s="21" t="str">
        <f>IF(COUNTBLANK(RAW_DATA!E60)=0,RAW_DATA!E60,"UNKNOWN")</f>
        <v>Pediatrics</v>
      </c>
      <c r="F60" s="21" t="str">
        <f>IF(COUNTBLANK(RAW_DATA!F60)=0,RAW_DATA!F60,"UNKNOWN")</f>
        <v>Dr. Das</v>
      </c>
      <c r="G60" s="20" t="str">
        <f>IF(COUNTBLANK(RAW_DATA!G60)=0,RAW_DATA!G60,"UNKNOWN")</f>
        <v>09-05-2025</v>
      </c>
      <c r="H60" s="21" t="str">
        <f>IF(COUNTBLANK(RAW_DATA!H60)=0,RAW_DATA!H60,"UNKNOWN")</f>
        <v>18-05-2025</v>
      </c>
      <c r="I60" s="21">
        <f>IF(COUNTBLANK(RAW_DATA!L60)=0,RAW_DATA!L60,0)</f>
        <v>38350</v>
      </c>
      <c r="J60" s="21" t="str">
        <f>IF(COUNTBLANK(RAW_DATA!M60)=0,RAW_DATA!M60,"UNKNOWN")</f>
        <v>No</v>
      </c>
      <c r="K60" s="21" t="str">
        <f>IF(COUNTBLANK(RAW_DATA!N60)=0,RAW_DATA!N60,"UNKNOWN")</f>
        <v>Paid</v>
      </c>
      <c r="L60" s="21">
        <f t="shared" ca="1" si="0"/>
        <v>0</v>
      </c>
      <c r="M60" s="21" t="str">
        <f t="shared" ca="1" si="1"/>
        <v>FULLY_PAID</v>
      </c>
      <c r="N60" s="10" t="e">
        <f t="shared" ca="1" si="2"/>
        <v>#VALUE!</v>
      </c>
    </row>
    <row r="61" spans="1:14">
      <c r="A61" s="21" t="str">
        <f>IF(COUNTBLANK(RAW_DATA!A61)=0,RAW_DATA!A61,"UNKNOWN")</f>
        <v>P1061</v>
      </c>
      <c r="B61" s="21" t="str">
        <f>IF(COUNTBLANK(RAW_DATA!B61)=0,RAW_DATA!B61,"UNKNOWN")</f>
        <v>Kiran</v>
      </c>
      <c r="C61" s="7" t="str">
        <f>IF(COUNTBLANK(RAW_DATA!C61)=0,RAW_DATA!C61,"N/A")</f>
        <v>N/A</v>
      </c>
      <c r="D61" s="21" t="str">
        <f>IF(COUNTBLANK(RAW_DATA!D61)=0,RAW_DATA!D61,"UNKNOWN")</f>
        <v>Male</v>
      </c>
      <c r="E61" s="21" t="str">
        <f>IF(COUNTBLANK(RAW_DATA!E61)=0,RAW_DATA!E61,"UNKNOWN")</f>
        <v>Neurology</v>
      </c>
      <c r="F61" s="21" t="str">
        <f>IF(COUNTBLANK(RAW_DATA!F61)=0,RAW_DATA!F61,"UNKNOWN")</f>
        <v>Dr. Sen</v>
      </c>
      <c r="G61" s="20" t="str">
        <f>IF(COUNTBLANK(RAW_DATA!G61)=0,RAW_DATA!G61,"UNKNOWN")</f>
        <v>13-12-2025</v>
      </c>
      <c r="H61" s="21" t="str">
        <f>IF(COUNTBLANK(RAW_DATA!H61)=0,RAW_DATA!H61,"UNKNOWN")</f>
        <v>14-12-2025</v>
      </c>
      <c r="I61" s="21">
        <f>IF(COUNTBLANK(RAW_DATA!L61)=0,RAW_DATA!L61,0)</f>
        <v>36898</v>
      </c>
      <c r="J61" s="21" t="str">
        <f>IF(COUNTBLANK(RAW_DATA!M61)=0,RAW_DATA!M61,"UNKNOWN")</f>
        <v>Yes</v>
      </c>
      <c r="K61" s="21" t="str">
        <f>IF(COUNTBLANK(RAW_DATA!N61)=0,RAW_DATA!N61,"UNKNOWN")</f>
        <v>Paid</v>
      </c>
      <c r="L61" s="21">
        <f t="shared" ca="1" si="0"/>
        <v>0</v>
      </c>
      <c r="M61" s="21" t="str">
        <f t="shared" ca="1" si="1"/>
        <v>FULLY_PAID</v>
      </c>
      <c r="N61" s="10" t="e">
        <f t="shared" ca="1" si="2"/>
        <v>#VALUE!</v>
      </c>
    </row>
    <row r="62" spans="1:14">
      <c r="A62" s="21" t="str">
        <f>IF(COUNTBLANK(RAW_DATA!A62)=0,RAW_DATA!A62,"UNKNOWN")</f>
        <v>P1062</v>
      </c>
      <c r="B62" s="21" t="str">
        <f>IF(COUNTBLANK(RAW_DATA!B62)=0,RAW_DATA!B62,"UNKNOWN")</f>
        <v>Kiran</v>
      </c>
      <c r="C62" s="7">
        <f>IF(COUNTBLANK(RAW_DATA!C62)=0,RAW_DATA!C62,"N/A")</f>
        <v>43</v>
      </c>
      <c r="D62" s="21" t="str">
        <f>IF(COUNTBLANK(RAW_DATA!D62)=0,RAW_DATA!D62,"UNKNOWN")</f>
        <v>Male</v>
      </c>
      <c r="E62" s="21" t="str">
        <f>IF(COUNTBLANK(RAW_DATA!E62)=0,RAW_DATA!E62,"UNKNOWN")</f>
        <v>Orthopedics</v>
      </c>
      <c r="F62" s="21" t="str">
        <f>IF(COUNTBLANK(RAW_DATA!F62)=0,RAW_DATA!F62,"UNKNOWN")</f>
        <v>Dr. Das</v>
      </c>
      <c r="G62" s="20" t="str">
        <f>IF(COUNTBLANK(RAW_DATA!G62)=0,RAW_DATA!G62,"UNKNOWN")</f>
        <v>07-08-2025</v>
      </c>
      <c r="H62" s="21" t="str">
        <f>IF(COUNTBLANK(RAW_DATA!H62)=0,RAW_DATA!H62,"UNKNOWN")</f>
        <v>09-08-2025</v>
      </c>
      <c r="I62" s="21">
        <f>IF(COUNTBLANK(RAW_DATA!L62)=0,RAW_DATA!L62,0)</f>
        <v>57054</v>
      </c>
      <c r="J62" s="21" t="str">
        <f>IF(COUNTBLANK(RAW_DATA!M62)=0,RAW_DATA!M62,"UNKNOWN")</f>
        <v>No</v>
      </c>
      <c r="K62" s="21" t="str">
        <f>IF(COUNTBLANK(RAW_DATA!N62)=0,RAW_DATA!N62,"UNKNOWN")</f>
        <v>Pending</v>
      </c>
      <c r="L62" s="21">
        <f t="shared" ca="1" si="0"/>
        <v>316</v>
      </c>
      <c r="M62" s="21" t="str">
        <f t="shared" ca="1" si="1"/>
        <v>61+ DAYS OVERDUE</v>
      </c>
      <c r="N62" s="10">
        <f t="shared" ca="1" si="2"/>
        <v>62</v>
      </c>
    </row>
    <row r="63" spans="1:14">
      <c r="A63" s="21" t="str">
        <f>IF(COUNTBLANK(RAW_DATA!A63)=0,RAW_DATA!A63,"UNKNOWN")</f>
        <v>P1063</v>
      </c>
      <c r="B63" s="21" t="str">
        <f>IF(COUNTBLANK(RAW_DATA!B63)=0,RAW_DATA!B63,"UNKNOWN")</f>
        <v xml:space="preserve">Arjun </v>
      </c>
      <c r="C63" s="7">
        <f>IF(COUNTBLANK(RAW_DATA!C63)=0,RAW_DATA!C63,"N/A")</f>
        <v>18</v>
      </c>
      <c r="D63" s="21" t="str">
        <f>IF(COUNTBLANK(RAW_DATA!D63)=0,RAW_DATA!D63,"UNKNOWN")</f>
        <v>Female</v>
      </c>
      <c r="E63" s="21" t="str">
        <f>IF(COUNTBLANK(RAW_DATA!E63)=0,RAW_DATA!E63,"UNKNOWN")</f>
        <v>Pediatrics</v>
      </c>
      <c r="F63" s="21" t="str">
        <f>IF(COUNTBLANK(RAW_DATA!F63)=0,RAW_DATA!F63,"UNKNOWN")</f>
        <v>Dr. Ghosh</v>
      </c>
      <c r="G63" s="20">
        <f>IF(COUNTBLANK(RAW_DATA!G63)=0,RAW_DATA!G63,"UNKNOWN")</f>
        <v>45793</v>
      </c>
      <c r="H63" s="21" t="str">
        <f>IF(COUNTBLANK(RAW_DATA!H63)=0,RAW_DATA!H63,"UNKNOWN")</f>
        <v>21-05-2025</v>
      </c>
      <c r="I63" s="21">
        <f>IF(COUNTBLANK(RAW_DATA!L63)=0,RAW_DATA!L63,0)</f>
        <v>60046</v>
      </c>
      <c r="J63" s="21" t="str">
        <f>IF(COUNTBLANK(RAW_DATA!M63)=0,RAW_DATA!M63,"UNKNOWN")</f>
        <v>Yes</v>
      </c>
      <c r="K63" s="21" t="str">
        <f>IF(COUNTBLANK(RAW_DATA!N63)=0,RAW_DATA!N63,"UNKNOWN")</f>
        <v>Pending</v>
      </c>
      <c r="L63" s="21">
        <f t="shared" ca="1" si="0"/>
        <v>369</v>
      </c>
      <c r="M63" s="21" t="str">
        <f t="shared" ca="1" si="1"/>
        <v>61+ DAYS OVERDUE</v>
      </c>
      <c r="N63" s="10" t="e">
        <f t="shared" ca="1" si="2"/>
        <v>#VALUE!</v>
      </c>
    </row>
    <row r="64" spans="1:14">
      <c r="A64" s="21" t="str">
        <f>IF(COUNTBLANK(RAW_DATA!A64)=0,RAW_DATA!A64,"UNKNOWN")</f>
        <v>P1064</v>
      </c>
      <c r="B64" s="21" t="str">
        <f>IF(COUNTBLANK(RAW_DATA!B64)=0,RAW_DATA!B64,"UNKNOWN")</f>
        <v>Ananya</v>
      </c>
      <c r="C64" s="7" t="str">
        <f>IF(COUNTBLANK(RAW_DATA!C64)=0,RAW_DATA!C64,"N/A")</f>
        <v>N/A</v>
      </c>
      <c r="D64" s="21" t="str">
        <f>IF(COUNTBLANK(RAW_DATA!D64)=0,RAW_DATA!D64,"UNKNOWN")</f>
        <v>Female</v>
      </c>
      <c r="E64" s="21" t="str">
        <f>IF(COUNTBLANK(RAW_DATA!E64)=0,RAW_DATA!E64,"UNKNOWN")</f>
        <v>Orthopedics</v>
      </c>
      <c r="F64" s="21" t="str">
        <f>IF(COUNTBLANK(RAW_DATA!F64)=0,RAW_DATA!F64,"UNKNOWN")</f>
        <v>UNKNOWN</v>
      </c>
      <c r="G64" s="20" t="str">
        <f>IF(COUNTBLANK(RAW_DATA!G64)=0,RAW_DATA!G64,"UNKNOWN")</f>
        <v>11-02-2025</v>
      </c>
      <c r="H64" s="21" t="str">
        <f>IF(COUNTBLANK(RAW_DATA!H64)=0,RAW_DATA!H64,"UNKNOWN")</f>
        <v>19-02-2025</v>
      </c>
      <c r="I64" s="21">
        <f>IF(COUNTBLANK(RAW_DATA!L64)=0,RAW_DATA!L64,0)</f>
        <v>31893</v>
      </c>
      <c r="J64" s="21" t="str">
        <f>IF(COUNTBLANK(RAW_DATA!M64)=0,RAW_DATA!M64,"UNKNOWN")</f>
        <v>Yes</v>
      </c>
      <c r="K64" s="21" t="str">
        <f>IF(COUNTBLANK(RAW_DATA!N64)=0,RAW_DATA!N64,"UNKNOWN")</f>
        <v>Pending</v>
      </c>
      <c r="L64" s="21">
        <f t="shared" ca="1" si="0"/>
        <v>199</v>
      </c>
      <c r="M64" s="21" t="str">
        <f t="shared" ca="1" si="1"/>
        <v>61+ DAYS OVERDUE</v>
      </c>
      <c r="N64" s="10" t="e">
        <f t="shared" ca="1" si="2"/>
        <v>#VALUE!</v>
      </c>
    </row>
    <row r="65" spans="1:14">
      <c r="A65" s="21" t="str">
        <f>IF(COUNTBLANK(RAW_DATA!A65)=0,RAW_DATA!A65,"UNKNOWN")</f>
        <v>P1065</v>
      </c>
      <c r="B65" s="21" t="str">
        <f>IF(COUNTBLANK(RAW_DATA!B65)=0,RAW_DATA!B65,"UNKNOWN")</f>
        <v>Rahul</v>
      </c>
      <c r="C65" s="7" t="str">
        <f>IF(COUNTBLANK(RAW_DATA!C65)=0,RAW_DATA!C65,"N/A")</f>
        <v>N/A</v>
      </c>
      <c r="D65" s="21" t="str">
        <f>IF(COUNTBLANK(RAW_DATA!D65)=0,RAW_DATA!D65,"UNKNOWN")</f>
        <v>Male</v>
      </c>
      <c r="E65" s="21" t="str">
        <f>IF(COUNTBLANK(RAW_DATA!E65)=0,RAW_DATA!E65,"UNKNOWN")</f>
        <v>Cardiology</v>
      </c>
      <c r="F65" s="21" t="str">
        <f>IF(COUNTBLANK(RAW_DATA!F65)=0,RAW_DATA!F65,"UNKNOWN")</f>
        <v>Dr. Roy</v>
      </c>
      <c r="G65" s="20" t="str">
        <f>IF(COUNTBLANK(RAW_DATA!G65)=0,RAW_DATA!G65,"UNKNOWN")</f>
        <v>14-08-2025</v>
      </c>
      <c r="H65" s="21" t="str">
        <f>IF(COUNTBLANK(RAW_DATA!H65)=0,RAW_DATA!H65,"UNKNOWN")</f>
        <v>23-08-2025</v>
      </c>
      <c r="I65" s="21">
        <f>IF(COUNTBLANK(RAW_DATA!L65)=0,RAW_DATA!L65,0)</f>
        <v>17457</v>
      </c>
      <c r="J65" s="21" t="str">
        <f>IF(COUNTBLANK(RAW_DATA!M65)=0,RAW_DATA!M65,"UNKNOWN")</f>
        <v>Yes</v>
      </c>
      <c r="K65" s="21" t="str">
        <f>IF(COUNTBLANK(RAW_DATA!N65)=0,RAW_DATA!N65,"UNKNOWN")</f>
        <v>Pending</v>
      </c>
      <c r="L65" s="21" t="e">
        <f t="shared" ca="1" si="0"/>
        <v>#VALUE!</v>
      </c>
      <c r="M65" s="21" t="e">
        <f t="shared" ca="1" si="1"/>
        <v>#VALUE!</v>
      </c>
      <c r="N65" s="10" t="e">
        <f t="shared" ca="1" si="2"/>
        <v>#VALUE!</v>
      </c>
    </row>
    <row r="66" spans="1:14">
      <c r="A66" s="21" t="str">
        <f>IF(COUNTBLANK(RAW_DATA!A66)=0,RAW_DATA!A66,"UNKNOWN")</f>
        <v>P1066</v>
      </c>
      <c r="B66" s="21" t="str">
        <f>IF(COUNTBLANK(RAW_DATA!B66)=0,RAW_DATA!B66,"UNKNOWN")</f>
        <v>Ananya</v>
      </c>
      <c r="C66" s="7">
        <f>IF(COUNTBLANK(RAW_DATA!C66)=0,RAW_DATA!C66,"N/A")</f>
        <v>44</v>
      </c>
      <c r="D66" s="21" t="str">
        <f>IF(COUNTBLANK(RAW_DATA!D66)=0,RAW_DATA!D66,"UNKNOWN")</f>
        <v>Male</v>
      </c>
      <c r="E66" s="21" t="str">
        <f>IF(COUNTBLANK(RAW_DATA!E66)=0,RAW_DATA!E66,"UNKNOWN")</f>
        <v>Orthopedics</v>
      </c>
      <c r="F66" s="21" t="str">
        <f>IF(COUNTBLANK(RAW_DATA!F66)=0,RAW_DATA!F66,"UNKNOWN")</f>
        <v>UNKNOWN</v>
      </c>
      <c r="G66" s="20" t="str">
        <f>IF(COUNTBLANK(RAW_DATA!G66)=0,RAW_DATA!G66,"UNKNOWN")</f>
        <v>12-10-2025</v>
      </c>
      <c r="H66" s="21" t="str">
        <f>IF(COUNTBLANK(RAW_DATA!H66)=0,RAW_DATA!H66,"UNKNOWN")</f>
        <v>13-10-2025</v>
      </c>
      <c r="I66" s="21">
        <f>IF(COUNTBLANK(RAW_DATA!L66)=0,RAW_DATA!L66,0)</f>
        <v>72685</v>
      </c>
      <c r="J66" s="21" t="str">
        <f>IF(COUNTBLANK(RAW_DATA!M66)=0,RAW_DATA!M66,"UNKNOWN")</f>
        <v>No</v>
      </c>
      <c r="K66" s="21" t="str">
        <f>IF(COUNTBLANK(RAW_DATA!N66)=0,RAW_DATA!N66,"UNKNOWN")</f>
        <v>Paid</v>
      </c>
      <c r="L66" s="21">
        <f t="shared" ca="1" si="0"/>
        <v>0</v>
      </c>
      <c r="M66" s="21" t="str">
        <f t="shared" ca="1" si="1"/>
        <v>FULLY_PAID</v>
      </c>
      <c r="N66" s="10" t="e">
        <f t="shared" ca="1" si="2"/>
        <v>#VALUE!</v>
      </c>
    </row>
    <row r="67" spans="1:14">
      <c r="A67" s="21" t="str">
        <f>IF(COUNTBLANK(RAW_DATA!A67)=0,RAW_DATA!A67,"UNKNOWN")</f>
        <v>P1067</v>
      </c>
      <c r="B67" s="21" t="str">
        <f>IF(COUNTBLANK(RAW_DATA!B67)=0,RAW_DATA!B67,"UNKNOWN")</f>
        <v>Rohit</v>
      </c>
      <c r="C67" s="7" t="str">
        <f>IF(COUNTBLANK(RAW_DATA!C67)=0,RAW_DATA!C67,"N/A")</f>
        <v>N/A</v>
      </c>
      <c r="D67" s="21" t="str">
        <f>IF(COUNTBLANK(RAW_DATA!D67)=0,RAW_DATA!D67,"UNKNOWN")</f>
        <v>Female</v>
      </c>
      <c r="E67" s="21" t="str">
        <f>IF(COUNTBLANK(RAW_DATA!E67)=0,RAW_DATA!E67,"UNKNOWN")</f>
        <v>General</v>
      </c>
      <c r="F67" s="21" t="str">
        <f>IF(COUNTBLANK(RAW_DATA!F67)=0,RAW_DATA!F67,"UNKNOWN")</f>
        <v>Dr. Roy</v>
      </c>
      <c r="G67" s="20" t="str">
        <f>IF(COUNTBLANK(RAW_DATA!G67)=0,RAW_DATA!G67,"UNKNOWN")</f>
        <v>16-11-2025</v>
      </c>
      <c r="H67" s="21" t="str">
        <f>IF(COUNTBLANK(RAW_DATA!H67)=0,RAW_DATA!H67,"UNKNOWN")</f>
        <v>24-11-2025</v>
      </c>
      <c r="I67" s="21">
        <f>IF(COUNTBLANK(RAW_DATA!L67)=0,RAW_DATA!L67,0)</f>
        <v>45860</v>
      </c>
      <c r="J67" s="21" t="str">
        <f>IF(COUNTBLANK(RAW_DATA!M67)=0,RAW_DATA!M67,"UNKNOWN")</f>
        <v>No</v>
      </c>
      <c r="K67" s="21" t="str">
        <f>IF(COUNTBLANK(RAW_DATA!N67)=0,RAW_DATA!N67,"UNKNOWN")</f>
        <v>Pending</v>
      </c>
      <c r="L67" s="21" t="e">
        <f t="shared" ref="L67:L100" ca="1" si="3">IF(K67="Pending", IF(OR(H67=" ",V67="UNKNOWN",NOT(ISNUMBER(H67))), TODAY( )-INT(G67),TODAY( )-INT(H67)),0)</f>
        <v>#VALUE!</v>
      </c>
      <c r="M67" s="21" t="e">
        <f t="shared" ref="M67:M100" ca="1" si="4">IF(L67=0,"FULLY_PAID",IF(L67&lt;=30, "1-30 DAYS OVERDUE", IF(L67&lt;=60,"31-60 DAYS OVERDUE","61+ DAYS OVERDUE")))</f>
        <v>#VALUE!</v>
      </c>
      <c r="N67" s="10" t="e">
        <f t="shared" ref="N67:N100" ca="1" si="5">IF(OR(H67=" ",H67="UNKNOWN"),TODAY()-G67,INT(H67)-INT(G67))</f>
        <v>#VALUE!</v>
      </c>
    </row>
    <row r="68" spans="1:14">
      <c r="A68" s="21" t="str">
        <f>IF(COUNTBLANK(RAW_DATA!A68)=0,RAW_DATA!A68,"UNKNOWN")</f>
        <v>P1068</v>
      </c>
      <c r="B68" s="21" t="str">
        <f>IF(COUNTBLANK(RAW_DATA!B68)=0,RAW_DATA!B68,"UNKNOWN")</f>
        <v>Arjun</v>
      </c>
      <c r="C68" s="7" t="str">
        <f>IF(COUNTBLANK(RAW_DATA!C68)=0,RAW_DATA!C68,"N/A")</f>
        <v>N/A</v>
      </c>
      <c r="D68" s="21" t="str">
        <f>IF(COUNTBLANK(RAW_DATA!D68)=0,RAW_DATA!D68,"UNKNOWN")</f>
        <v>Female</v>
      </c>
      <c r="E68" s="21" t="str">
        <f>IF(COUNTBLANK(RAW_DATA!E68)=0,RAW_DATA!E68,"UNKNOWN")</f>
        <v>Neurology</v>
      </c>
      <c r="F68" s="21" t="str">
        <f>IF(COUNTBLANK(RAW_DATA!F68)=0,RAW_DATA!F68,"UNKNOWN")</f>
        <v>UNKNOWN</v>
      </c>
      <c r="G68" s="20" t="str">
        <f>IF(COUNTBLANK(RAW_DATA!G68)=0,RAW_DATA!G68,"UNKNOWN")</f>
        <v>22-10-2025</v>
      </c>
      <c r="H68" s="21" t="str">
        <f>IF(COUNTBLANK(RAW_DATA!H68)=0,RAW_DATA!H68,"UNKNOWN")</f>
        <v>26-10-2025</v>
      </c>
      <c r="I68" s="21">
        <f>IF(COUNTBLANK(RAW_DATA!L68)=0,RAW_DATA!L68,0)</f>
        <v>58246</v>
      </c>
      <c r="J68" s="21" t="str">
        <f>IF(COUNTBLANK(RAW_DATA!M68)=0,RAW_DATA!M68,"UNKNOWN")</f>
        <v>No</v>
      </c>
      <c r="K68" s="21" t="str">
        <f>IF(COUNTBLANK(RAW_DATA!N68)=0,RAW_DATA!N68,"UNKNOWN")</f>
        <v>Paid</v>
      </c>
      <c r="L68" s="21">
        <f t="shared" ca="1" si="3"/>
        <v>0</v>
      </c>
      <c r="M68" s="21" t="str">
        <f t="shared" ca="1" si="4"/>
        <v>FULLY_PAID</v>
      </c>
      <c r="N68" s="10" t="e">
        <f t="shared" ca="1" si="5"/>
        <v>#VALUE!</v>
      </c>
    </row>
    <row r="69" spans="1:14">
      <c r="A69" s="21" t="str">
        <f>IF(COUNTBLANK(RAW_DATA!A69)=0,RAW_DATA!A69,"UNKNOWN")</f>
        <v>P1069</v>
      </c>
      <c r="B69" s="21" t="str">
        <f>IF(COUNTBLANK(RAW_DATA!B69)=0,RAW_DATA!B69,"UNKNOWN")</f>
        <v>Neha</v>
      </c>
      <c r="C69" s="7" t="str">
        <f>IF(COUNTBLANK(RAW_DATA!C69)=0,RAW_DATA!C69,"N/A")</f>
        <v>N/A</v>
      </c>
      <c r="D69" s="21" t="str">
        <f>IF(COUNTBLANK(RAW_DATA!D69)=0,RAW_DATA!D69,"UNKNOWN")</f>
        <v>Female</v>
      </c>
      <c r="E69" s="21" t="str">
        <f>IF(COUNTBLANK(RAW_DATA!E69)=0,RAW_DATA!E69,"UNKNOWN")</f>
        <v>Orthopedics</v>
      </c>
      <c r="F69" s="21" t="str">
        <f>IF(COUNTBLANK(RAW_DATA!F69)=0,RAW_DATA!F69,"UNKNOWN")</f>
        <v>Dr. Ghosh</v>
      </c>
      <c r="G69" s="20" t="str">
        <f>IF(COUNTBLANK(RAW_DATA!G69)=0,RAW_DATA!G69,"UNKNOWN")</f>
        <v>01-12-2025</v>
      </c>
      <c r="H69" s="21" t="str">
        <f>IF(COUNTBLANK(RAW_DATA!H69)=0,RAW_DATA!H69,"UNKNOWN")</f>
        <v>10-12-2025</v>
      </c>
      <c r="I69" s="21">
        <f>IF(COUNTBLANK(RAW_DATA!L69)=0,RAW_DATA!L69,0)</f>
        <v>58232</v>
      </c>
      <c r="J69" s="21" t="str">
        <f>IF(COUNTBLANK(RAW_DATA!M69)=0,RAW_DATA!M69,"UNKNOWN")</f>
        <v>Yes</v>
      </c>
      <c r="K69" s="21" t="str">
        <f>IF(COUNTBLANK(RAW_DATA!N69)=0,RAW_DATA!N69,"UNKNOWN")</f>
        <v>Pending</v>
      </c>
      <c r="L69" s="21">
        <f t="shared" ca="1" si="3"/>
        <v>493</v>
      </c>
      <c r="M69" s="21" t="str">
        <f t="shared" ca="1" si="4"/>
        <v>61+ DAYS OVERDUE</v>
      </c>
      <c r="N69" s="10">
        <f t="shared" ca="1" si="5"/>
        <v>273</v>
      </c>
    </row>
    <row r="70" spans="1:14">
      <c r="A70" s="21" t="str">
        <f>IF(COUNTBLANK(RAW_DATA!A70)=0,RAW_DATA!A70,"UNKNOWN")</f>
        <v>P1070</v>
      </c>
      <c r="B70" s="21" t="str">
        <f>IF(COUNTBLANK(RAW_DATA!B70)=0,RAW_DATA!B70,"UNKNOWN")</f>
        <v>Priya</v>
      </c>
      <c r="C70" s="7" t="str">
        <f>IF(COUNTBLANK(RAW_DATA!C70)=0,RAW_DATA!C70,"N/A")</f>
        <v>N/A</v>
      </c>
      <c r="D70" s="21" t="str">
        <f>IF(COUNTBLANK(RAW_DATA!D70)=0,RAW_DATA!D70,"UNKNOWN")</f>
        <v>Male</v>
      </c>
      <c r="E70" s="21" t="str">
        <f>IF(COUNTBLANK(RAW_DATA!E70)=0,RAW_DATA!E70,"UNKNOWN")</f>
        <v>General</v>
      </c>
      <c r="F70" s="21" t="str">
        <f>IF(COUNTBLANK(RAW_DATA!F70)=0,RAW_DATA!F70,"UNKNOWN")</f>
        <v>Dr. Khan</v>
      </c>
      <c r="G70" s="20">
        <f>IF(COUNTBLANK(RAW_DATA!G70)=0,RAW_DATA!G70,"UNKNOWN")</f>
        <v>45992</v>
      </c>
      <c r="H70" s="21" t="str">
        <f>IF(COUNTBLANK(RAW_DATA!H70)=0,RAW_DATA!H70,"UNKNOWN")</f>
        <v>07-12-2025</v>
      </c>
      <c r="I70" s="21">
        <f>IF(COUNTBLANK(RAW_DATA!L70)=0,RAW_DATA!L70,0)</f>
        <v>29340</v>
      </c>
      <c r="J70" s="21" t="str">
        <f>IF(COUNTBLANK(RAW_DATA!M70)=0,RAW_DATA!M70,"UNKNOWN")</f>
        <v>No</v>
      </c>
      <c r="K70" s="21" t="str">
        <f>IF(COUNTBLANK(RAW_DATA!N70)=0,RAW_DATA!N70,"UNKNOWN")</f>
        <v>Paid</v>
      </c>
      <c r="L70" s="21">
        <f t="shared" ca="1" si="3"/>
        <v>0</v>
      </c>
      <c r="M70" s="21" t="str">
        <f t="shared" ca="1" si="4"/>
        <v>FULLY_PAID</v>
      </c>
      <c r="N70" s="10">
        <f t="shared" ca="1" si="5"/>
        <v>-142</v>
      </c>
    </row>
    <row r="71" spans="1:14">
      <c r="A71" s="21" t="str">
        <f>IF(COUNTBLANK(RAW_DATA!A71)=0,RAW_DATA!A71,"UNKNOWN")</f>
        <v>P1071</v>
      </c>
      <c r="B71" s="21" t="str">
        <f>IF(COUNTBLANK(RAW_DATA!B71)=0,RAW_DATA!B71,"UNKNOWN")</f>
        <v xml:space="preserve">Kiran </v>
      </c>
      <c r="C71" s="7">
        <f>IF(COUNTBLANK(RAW_DATA!C71)=0,RAW_DATA!C71,"N/A")</f>
        <v>22</v>
      </c>
      <c r="D71" s="21" t="str">
        <f>IF(COUNTBLANK(RAW_DATA!D71)=0,RAW_DATA!D71,"UNKNOWN")</f>
        <v>Male</v>
      </c>
      <c r="E71" s="21" t="str">
        <f>IF(COUNTBLANK(RAW_DATA!E71)=0,RAW_DATA!E71,"UNKNOWN")</f>
        <v>Cardiology</v>
      </c>
      <c r="F71" s="21" t="str">
        <f>IF(COUNTBLANK(RAW_DATA!F71)=0,RAW_DATA!F71,"UNKNOWN")</f>
        <v>Dr. Das</v>
      </c>
      <c r="G71" s="20" t="str">
        <f>IF(COUNTBLANK(RAW_DATA!G71)=0,RAW_DATA!G71,"UNKNOWN")</f>
        <v>18-11-2025</v>
      </c>
      <c r="H71" s="21" t="str">
        <f>IF(COUNTBLANK(RAW_DATA!H71)=0,RAW_DATA!H71,"UNKNOWN")</f>
        <v>27-11-2025</v>
      </c>
      <c r="I71" s="21">
        <f>IF(COUNTBLANK(RAW_DATA!L71)=0,RAW_DATA!L71,0)</f>
        <v>52891</v>
      </c>
      <c r="J71" s="21" t="str">
        <f>IF(COUNTBLANK(RAW_DATA!M71)=0,RAW_DATA!M71,"UNKNOWN")</f>
        <v>Yes</v>
      </c>
      <c r="K71" s="21" t="str">
        <f>IF(COUNTBLANK(RAW_DATA!N71)=0,RAW_DATA!N71,"UNKNOWN")</f>
        <v>Paid</v>
      </c>
      <c r="L71" s="21">
        <f t="shared" ca="1" si="3"/>
        <v>0</v>
      </c>
      <c r="M71" s="21" t="str">
        <f t="shared" ca="1" si="4"/>
        <v>FULLY_PAID</v>
      </c>
      <c r="N71" s="10" t="e">
        <f t="shared" ca="1" si="5"/>
        <v>#VALUE!</v>
      </c>
    </row>
    <row r="72" spans="1:14">
      <c r="A72" s="21" t="str">
        <f>IF(COUNTBLANK(RAW_DATA!A72)=0,RAW_DATA!A72,"UNKNOWN")</f>
        <v>P1072</v>
      </c>
      <c r="B72" s="21" t="str">
        <f>IF(COUNTBLANK(RAW_DATA!B72)=0,RAW_DATA!B72,"UNKNOWN")</f>
        <v>Kiran</v>
      </c>
      <c r="C72" s="7" t="str">
        <f>IF(COUNTBLANK(RAW_DATA!C72)=0,RAW_DATA!C72,"N/A")</f>
        <v>N/A</v>
      </c>
      <c r="D72" s="21" t="str">
        <f>IF(COUNTBLANK(RAW_DATA!D72)=0,RAW_DATA!D72,"UNKNOWN")</f>
        <v>Female</v>
      </c>
      <c r="E72" s="21" t="str">
        <f>IF(COUNTBLANK(RAW_DATA!E72)=0,RAW_DATA!E72,"UNKNOWN")</f>
        <v>Pediatrics</v>
      </c>
      <c r="F72" s="21" t="str">
        <f>IF(COUNTBLANK(RAW_DATA!F72)=0,RAW_DATA!F72,"UNKNOWN")</f>
        <v>Dr. Khan</v>
      </c>
      <c r="G72" s="20" t="str">
        <f>IF(COUNTBLANK(RAW_DATA!G72)=0,RAW_DATA!G72,"UNKNOWN")</f>
        <v>04-07-2025</v>
      </c>
      <c r="H72" s="21" t="str">
        <f>IF(COUNTBLANK(RAW_DATA!H72)=0,RAW_DATA!H72,"UNKNOWN")</f>
        <v>07-07-2025</v>
      </c>
      <c r="I72" s="21">
        <f>IF(COUNTBLANK(RAW_DATA!L72)=0,RAW_DATA!L72,0)</f>
        <v>32046</v>
      </c>
      <c r="J72" s="21" t="str">
        <f>IF(COUNTBLANK(RAW_DATA!M72)=0,RAW_DATA!M72,"UNKNOWN")</f>
        <v>No</v>
      </c>
      <c r="K72" s="21" t="str">
        <f>IF(COUNTBLANK(RAW_DATA!N72)=0,RAW_DATA!N72,"UNKNOWN")</f>
        <v>Pending</v>
      </c>
      <c r="L72" s="21">
        <f t="shared" ca="1" si="3"/>
        <v>408</v>
      </c>
      <c r="M72" s="21" t="str">
        <f t="shared" ca="1" si="4"/>
        <v>61+ DAYS OVERDUE</v>
      </c>
      <c r="N72" s="10">
        <f t="shared" ca="1" si="5"/>
        <v>91</v>
      </c>
    </row>
    <row r="73" spans="1:14">
      <c r="A73" s="21" t="str">
        <f>IF(COUNTBLANK(RAW_DATA!A73)=0,RAW_DATA!A73,"UNKNOWN")</f>
        <v>P1073</v>
      </c>
      <c r="B73" s="21" t="str">
        <f>IF(COUNTBLANK(RAW_DATA!B73)=0,RAW_DATA!B73,"UNKNOWN")</f>
        <v xml:space="preserve">Rahul </v>
      </c>
      <c r="C73" s="7">
        <f>IF(COUNTBLANK(RAW_DATA!C73)=0,RAW_DATA!C73,"N/A")</f>
        <v>9</v>
      </c>
      <c r="D73" s="21" t="str">
        <f>IF(COUNTBLANK(RAW_DATA!D73)=0,RAW_DATA!D73,"UNKNOWN")</f>
        <v>Male</v>
      </c>
      <c r="E73" s="21" t="str">
        <f>IF(COUNTBLANK(RAW_DATA!E73)=0,RAW_DATA!E73,"UNKNOWN")</f>
        <v>Neurology</v>
      </c>
      <c r="F73" s="21" t="str">
        <f>IF(COUNTBLANK(RAW_DATA!F73)=0,RAW_DATA!F73,"UNKNOWN")</f>
        <v>Dr. Khan</v>
      </c>
      <c r="G73" s="20" t="str">
        <f>IF(COUNTBLANK(RAW_DATA!G73)=0,RAW_DATA!G73,"UNKNOWN")</f>
        <v>14-01-2025</v>
      </c>
      <c r="H73" s="21" t="str">
        <f>IF(COUNTBLANK(RAW_DATA!H73)=0,RAW_DATA!H73,"UNKNOWN")</f>
        <v>15-01-2025</v>
      </c>
      <c r="I73" s="21">
        <f>IF(COUNTBLANK(RAW_DATA!L73)=0,RAW_DATA!L73,0)</f>
        <v>62699</v>
      </c>
      <c r="J73" s="21" t="str">
        <f>IF(COUNTBLANK(RAW_DATA!M73)=0,RAW_DATA!M73,"UNKNOWN")</f>
        <v>No</v>
      </c>
      <c r="K73" s="21" t="str">
        <f>IF(COUNTBLANK(RAW_DATA!N73)=0,RAW_DATA!N73,"UNKNOWN")</f>
        <v>Paid</v>
      </c>
      <c r="L73" s="21">
        <f t="shared" ca="1" si="3"/>
        <v>0</v>
      </c>
      <c r="M73" s="21" t="str">
        <f t="shared" ca="1" si="4"/>
        <v>FULLY_PAID</v>
      </c>
      <c r="N73" s="10" t="e">
        <f t="shared" ca="1" si="5"/>
        <v>#VALUE!</v>
      </c>
    </row>
    <row r="74" spans="1:14">
      <c r="A74" s="21" t="str">
        <f>IF(COUNTBLANK(RAW_DATA!A74)=0,RAW_DATA!A74,"UNKNOWN")</f>
        <v>P1074</v>
      </c>
      <c r="B74" s="21" t="str">
        <f>IF(COUNTBLANK(RAW_DATA!B74)=0,RAW_DATA!B74,"UNKNOWN")</f>
        <v>Rahul</v>
      </c>
      <c r="C74" s="7" t="str">
        <f>IF(COUNTBLANK(RAW_DATA!C74)=0,RAW_DATA!C74,"N/A")</f>
        <v>N/A</v>
      </c>
      <c r="D74" s="21" t="str">
        <f>IF(COUNTBLANK(RAW_DATA!D74)=0,RAW_DATA!D74,"UNKNOWN")</f>
        <v>Female</v>
      </c>
      <c r="E74" s="21" t="str">
        <f>IF(COUNTBLANK(RAW_DATA!E74)=0,RAW_DATA!E74,"UNKNOWN")</f>
        <v>Neurology</v>
      </c>
      <c r="F74" s="21" t="str">
        <f>IF(COUNTBLANK(RAW_DATA!F74)=0,RAW_DATA!F74,"UNKNOWN")</f>
        <v>Dr. Das</v>
      </c>
      <c r="G74" s="20" t="str">
        <f>IF(COUNTBLANK(RAW_DATA!G74)=0,RAW_DATA!G74,"UNKNOWN")</f>
        <v>21-10-2025</v>
      </c>
      <c r="H74" s="21" t="str">
        <f>IF(COUNTBLANK(RAW_DATA!H74)=0,RAW_DATA!H74,"UNKNOWN")</f>
        <v>23-10-2025</v>
      </c>
      <c r="I74" s="21">
        <f>IF(COUNTBLANK(RAW_DATA!L74)=0,RAW_DATA!L74,0)</f>
        <v>58451</v>
      </c>
      <c r="J74" s="21" t="str">
        <f>IF(COUNTBLANK(RAW_DATA!M74)=0,RAW_DATA!M74,"UNKNOWN")</f>
        <v>Yes</v>
      </c>
      <c r="K74" s="21" t="str">
        <f>IF(COUNTBLANK(RAW_DATA!N74)=0,RAW_DATA!N74,"UNKNOWN")</f>
        <v>Pending</v>
      </c>
      <c r="L74" s="21" t="e">
        <f t="shared" ca="1" si="3"/>
        <v>#VALUE!</v>
      </c>
      <c r="M74" s="21" t="e">
        <f t="shared" ca="1" si="4"/>
        <v>#VALUE!</v>
      </c>
      <c r="N74" s="10" t="e">
        <f t="shared" ca="1" si="5"/>
        <v>#VALUE!</v>
      </c>
    </row>
    <row r="75" spans="1:14">
      <c r="A75" s="21" t="str">
        <f>IF(COUNTBLANK(RAW_DATA!A75)=0,RAW_DATA!A75,"UNKNOWN")</f>
        <v>P1075</v>
      </c>
      <c r="B75" s="21" t="str">
        <f>IF(COUNTBLANK(RAW_DATA!B75)=0,RAW_DATA!B75,"UNKNOWN")</f>
        <v xml:space="preserve">Sneha </v>
      </c>
      <c r="C75" s="7">
        <f>IF(COUNTBLANK(RAW_DATA!C75)=0,RAW_DATA!C75,"N/A")</f>
        <v>72</v>
      </c>
      <c r="D75" s="21" t="str">
        <f>IF(COUNTBLANK(RAW_DATA!D75)=0,RAW_DATA!D75,"UNKNOWN")</f>
        <v>Male</v>
      </c>
      <c r="E75" s="21" t="str">
        <f>IF(COUNTBLANK(RAW_DATA!E75)=0,RAW_DATA!E75,"UNKNOWN")</f>
        <v>Neurology</v>
      </c>
      <c r="F75" s="21" t="str">
        <f>IF(COUNTBLANK(RAW_DATA!F75)=0,RAW_DATA!F75,"UNKNOWN")</f>
        <v>Dr. Das</v>
      </c>
      <c r="G75" s="20" t="str">
        <f>IF(COUNTBLANK(RAW_DATA!G75)=0,RAW_DATA!G75,"UNKNOWN")</f>
        <v>28-01-2025</v>
      </c>
      <c r="H75" s="21" t="str">
        <f>IF(COUNTBLANK(RAW_DATA!H75)=0,RAW_DATA!H75,"UNKNOWN")</f>
        <v>03-02-2025</v>
      </c>
      <c r="I75" s="21">
        <f>IF(COUNTBLANK(RAW_DATA!L75)=0,RAW_DATA!L75,0)</f>
        <v>30325</v>
      </c>
      <c r="J75" s="21" t="str">
        <f>IF(COUNTBLANK(RAW_DATA!M75)=0,RAW_DATA!M75,"UNKNOWN")</f>
        <v>Yes</v>
      </c>
      <c r="K75" s="21" t="str">
        <f>IF(COUNTBLANK(RAW_DATA!N75)=0,RAW_DATA!N75,"UNKNOWN")</f>
        <v>Paid</v>
      </c>
      <c r="L75" s="21">
        <f t="shared" ca="1" si="3"/>
        <v>0</v>
      </c>
      <c r="M75" s="21" t="str">
        <f t="shared" ca="1" si="4"/>
        <v>FULLY_PAID</v>
      </c>
      <c r="N75" s="10" t="e">
        <f t="shared" ca="1" si="5"/>
        <v>#VALUE!</v>
      </c>
    </row>
    <row r="76" spans="1:14">
      <c r="A76" s="21" t="str">
        <f>IF(COUNTBLANK(RAW_DATA!A76)=0,RAW_DATA!A76,"UNKNOWN")</f>
        <v>P1076</v>
      </c>
      <c r="B76" s="21" t="str">
        <f>IF(COUNTBLANK(RAW_DATA!B76)=0,RAW_DATA!B76,"UNKNOWN")</f>
        <v>Kiran</v>
      </c>
      <c r="C76" s="7">
        <f>IF(COUNTBLANK(RAW_DATA!C76)=0,RAW_DATA!C76,"N/A")</f>
        <v>45</v>
      </c>
      <c r="D76" s="21" t="str">
        <f>IF(COUNTBLANK(RAW_DATA!D76)=0,RAW_DATA!D76,"UNKNOWN")</f>
        <v>Male</v>
      </c>
      <c r="E76" s="21" t="str">
        <f>IF(COUNTBLANK(RAW_DATA!E76)=0,RAW_DATA!E76,"UNKNOWN")</f>
        <v>General</v>
      </c>
      <c r="F76" s="21" t="str">
        <f>IF(COUNTBLANK(RAW_DATA!F76)=0,RAW_DATA!F76,"UNKNOWN")</f>
        <v>Dr. Sen</v>
      </c>
      <c r="G76" s="20" t="str">
        <f>IF(COUNTBLANK(RAW_DATA!G76)=0,RAW_DATA!G76,"UNKNOWN")</f>
        <v>18-11-2025</v>
      </c>
      <c r="H76" s="21" t="str">
        <f>IF(COUNTBLANK(RAW_DATA!H76)=0,RAW_DATA!H76,"UNKNOWN")</f>
        <v>20-11-2025</v>
      </c>
      <c r="I76" s="21">
        <f>IF(COUNTBLANK(RAW_DATA!L76)=0,RAW_DATA!L76,0)</f>
        <v>14554</v>
      </c>
      <c r="J76" s="21" t="str">
        <f>IF(COUNTBLANK(RAW_DATA!M76)=0,RAW_DATA!M76,"UNKNOWN")</f>
        <v>No</v>
      </c>
      <c r="K76" s="21" t="str">
        <f>IF(COUNTBLANK(RAW_DATA!N76)=0,RAW_DATA!N76,"UNKNOWN")</f>
        <v>Pending</v>
      </c>
      <c r="L76" s="21" t="e">
        <f t="shared" ca="1" si="3"/>
        <v>#VALUE!</v>
      </c>
      <c r="M76" s="21" t="e">
        <f t="shared" ca="1" si="4"/>
        <v>#VALUE!</v>
      </c>
      <c r="N76" s="10" t="e">
        <f t="shared" ca="1" si="5"/>
        <v>#VALUE!</v>
      </c>
    </row>
    <row r="77" spans="1:14">
      <c r="A77" s="21" t="str">
        <f>IF(COUNTBLANK(RAW_DATA!A77)=0,RAW_DATA!A77,"UNKNOWN")</f>
        <v>P1077</v>
      </c>
      <c r="B77" s="21" t="str">
        <f>IF(COUNTBLANK(RAW_DATA!B77)=0,RAW_DATA!B77,"UNKNOWN")</f>
        <v xml:space="preserve">Ananya </v>
      </c>
      <c r="C77" s="7" t="str">
        <f>IF(COUNTBLANK(RAW_DATA!C77)=0,RAW_DATA!C77,"N/A")</f>
        <v>N/A</v>
      </c>
      <c r="D77" s="21" t="str">
        <f>IF(COUNTBLANK(RAW_DATA!D77)=0,RAW_DATA!D77,"UNKNOWN")</f>
        <v>Male</v>
      </c>
      <c r="E77" s="21" t="str">
        <f>IF(COUNTBLANK(RAW_DATA!E77)=0,RAW_DATA!E77,"UNKNOWN")</f>
        <v>General</v>
      </c>
      <c r="F77" s="21" t="str">
        <f>IF(COUNTBLANK(RAW_DATA!F77)=0,RAW_DATA!F77,"UNKNOWN")</f>
        <v>Dr. Sen</v>
      </c>
      <c r="G77" s="20" t="str">
        <f>IF(COUNTBLANK(RAW_DATA!G77)=0,RAW_DATA!G77,"UNKNOWN")</f>
        <v>25-04-2025</v>
      </c>
      <c r="H77" s="21" t="str">
        <f>IF(COUNTBLANK(RAW_DATA!H77)=0,RAW_DATA!H77,"UNKNOWN")</f>
        <v>05-05-2025</v>
      </c>
      <c r="I77" s="21">
        <f>IF(COUNTBLANK(RAW_DATA!L77)=0,RAW_DATA!L77,0)</f>
        <v>63921</v>
      </c>
      <c r="J77" s="21" t="str">
        <f>IF(COUNTBLANK(RAW_DATA!M77)=0,RAW_DATA!M77,"UNKNOWN")</f>
        <v>No</v>
      </c>
      <c r="K77" s="21" t="str">
        <f>IF(COUNTBLANK(RAW_DATA!N77)=0,RAW_DATA!N77,"UNKNOWN")</f>
        <v>Pending</v>
      </c>
      <c r="L77" s="21" t="e">
        <f t="shared" ca="1" si="3"/>
        <v>#VALUE!</v>
      </c>
      <c r="M77" s="21" t="e">
        <f t="shared" ca="1" si="4"/>
        <v>#VALUE!</v>
      </c>
      <c r="N77" s="10" t="e">
        <f t="shared" ca="1" si="5"/>
        <v>#VALUE!</v>
      </c>
    </row>
    <row r="78" spans="1:14">
      <c r="A78" s="21" t="str">
        <f>IF(COUNTBLANK(RAW_DATA!A78)=0,RAW_DATA!A78,"UNKNOWN")</f>
        <v>P1078</v>
      </c>
      <c r="B78" s="21" t="str">
        <f>IF(COUNTBLANK(RAW_DATA!B78)=0,RAW_DATA!B78,"UNKNOWN")</f>
        <v>Ananya</v>
      </c>
      <c r="C78" s="7" t="str">
        <f>IF(COUNTBLANK(RAW_DATA!C78)=0,RAW_DATA!C78,"N/A")</f>
        <v>N/A</v>
      </c>
      <c r="D78" s="21" t="str">
        <f>IF(COUNTBLANK(RAW_DATA!D78)=0,RAW_DATA!D78,"UNKNOWN")</f>
        <v>Female</v>
      </c>
      <c r="E78" s="21" t="str">
        <f>IF(COUNTBLANK(RAW_DATA!E78)=0,RAW_DATA!E78,"UNKNOWN")</f>
        <v>Orthopedics</v>
      </c>
      <c r="F78" s="21" t="str">
        <f>IF(COUNTBLANK(RAW_DATA!F78)=0,RAW_DATA!F78,"UNKNOWN")</f>
        <v>UNKNOWN</v>
      </c>
      <c r="G78" s="20" t="str">
        <f>IF(COUNTBLANK(RAW_DATA!G78)=0,RAW_DATA!G78,"UNKNOWN")</f>
        <v>25-01-2025</v>
      </c>
      <c r="H78" s="21" t="str">
        <f>IF(COUNTBLANK(RAW_DATA!H78)=0,RAW_DATA!H78,"UNKNOWN")</f>
        <v>02-02-2025</v>
      </c>
      <c r="I78" s="21">
        <f>IF(COUNTBLANK(RAW_DATA!L78)=0,RAW_DATA!L78,0)</f>
        <v>32167</v>
      </c>
      <c r="J78" s="21" t="str">
        <f>IF(COUNTBLANK(RAW_DATA!M78)=0,RAW_DATA!M78,"UNKNOWN")</f>
        <v>No</v>
      </c>
      <c r="K78" s="21" t="str">
        <f>IF(COUNTBLANK(RAW_DATA!N78)=0,RAW_DATA!N78,"UNKNOWN")</f>
        <v>Pending</v>
      </c>
      <c r="L78" s="21" t="e">
        <f t="shared" ca="1" si="3"/>
        <v>#VALUE!</v>
      </c>
      <c r="M78" s="21" t="e">
        <f t="shared" ca="1" si="4"/>
        <v>#VALUE!</v>
      </c>
      <c r="N78" s="10" t="e">
        <f t="shared" ca="1" si="5"/>
        <v>#VALUE!</v>
      </c>
    </row>
    <row r="79" spans="1:14">
      <c r="A79" s="21" t="str">
        <f>IF(COUNTBLANK(RAW_DATA!A79)=0,RAW_DATA!A79,"UNKNOWN")</f>
        <v>P1079</v>
      </c>
      <c r="B79" s="21" t="str">
        <f>IF(COUNTBLANK(RAW_DATA!B79)=0,RAW_DATA!B79,"UNKNOWN")</f>
        <v>Rohit</v>
      </c>
      <c r="C79" s="7" t="str">
        <f>IF(COUNTBLANK(RAW_DATA!C79)=0,RAW_DATA!C79,"N/A")</f>
        <v>N/A</v>
      </c>
      <c r="D79" s="21" t="str">
        <f>IF(COUNTBLANK(RAW_DATA!D79)=0,RAW_DATA!D79,"UNKNOWN")</f>
        <v>Male</v>
      </c>
      <c r="E79" s="21" t="str">
        <f>IF(COUNTBLANK(RAW_DATA!E79)=0,RAW_DATA!E79,"UNKNOWN")</f>
        <v>General</v>
      </c>
      <c r="F79" s="21" t="str">
        <f>IF(COUNTBLANK(RAW_DATA!F79)=0,RAW_DATA!F79,"UNKNOWN")</f>
        <v>Dr. Sen</v>
      </c>
      <c r="G79" s="20" t="str">
        <f>IF(COUNTBLANK(RAW_DATA!G79)=0,RAW_DATA!G79,"UNKNOWN")</f>
        <v>12-03-2025</v>
      </c>
      <c r="H79" s="21" t="str">
        <f>IF(COUNTBLANK(RAW_DATA!H79)=0,RAW_DATA!H79,"UNKNOWN")</f>
        <v>14-03-2025</v>
      </c>
      <c r="I79" s="21">
        <f>IF(COUNTBLANK(RAW_DATA!L79)=0,RAW_DATA!L79,0)</f>
        <v>28252</v>
      </c>
      <c r="J79" s="21" t="str">
        <f>IF(COUNTBLANK(RAW_DATA!M79)=0,RAW_DATA!M79,"UNKNOWN")</f>
        <v>Yes</v>
      </c>
      <c r="K79" s="21" t="str">
        <f>IF(COUNTBLANK(RAW_DATA!N79)=0,RAW_DATA!N79,"UNKNOWN")</f>
        <v>Paid</v>
      </c>
      <c r="L79" s="21">
        <f t="shared" ca="1" si="3"/>
        <v>0</v>
      </c>
      <c r="M79" s="21" t="str">
        <f t="shared" ca="1" si="4"/>
        <v>FULLY_PAID</v>
      </c>
      <c r="N79" s="10" t="e">
        <f t="shared" ca="1" si="5"/>
        <v>#VALUE!</v>
      </c>
    </row>
    <row r="80" spans="1:14">
      <c r="A80" s="21" t="str">
        <f>IF(COUNTBLANK(RAW_DATA!A80)=0,RAW_DATA!A80,"UNKNOWN")</f>
        <v>P1080</v>
      </c>
      <c r="B80" s="21" t="str">
        <f>IF(COUNTBLANK(RAW_DATA!B80)=0,RAW_DATA!B80,"UNKNOWN")</f>
        <v>UNKNOWN</v>
      </c>
      <c r="C80" s="7">
        <f>IF(COUNTBLANK(RAW_DATA!C80)=0,RAW_DATA!C80,"N/A")</f>
        <v>73</v>
      </c>
      <c r="D80" s="21" t="str">
        <f>IF(COUNTBLANK(RAW_DATA!D80)=0,RAW_DATA!D80,"UNKNOWN")</f>
        <v>Male</v>
      </c>
      <c r="E80" s="21" t="str">
        <f>IF(COUNTBLANK(RAW_DATA!E80)=0,RAW_DATA!E80,"UNKNOWN")</f>
        <v>Neurology</v>
      </c>
      <c r="F80" s="21" t="str">
        <f>IF(COUNTBLANK(RAW_DATA!F80)=0,RAW_DATA!F80,"UNKNOWN")</f>
        <v>Dr. Ghosh</v>
      </c>
      <c r="G80" s="20" t="str">
        <f>IF(COUNTBLANK(RAW_DATA!G80)=0,RAW_DATA!G80,"UNKNOWN")</f>
        <v>20-06-2025</v>
      </c>
      <c r="H80" s="21" t="str">
        <f>IF(COUNTBLANK(RAW_DATA!H80)=0,RAW_DATA!H80,"UNKNOWN")</f>
        <v>25-06-2025</v>
      </c>
      <c r="I80" s="21">
        <f>IF(COUNTBLANK(RAW_DATA!L80)=0,RAW_DATA!L80,0)</f>
        <v>58419</v>
      </c>
      <c r="J80" s="21" t="str">
        <f>IF(COUNTBLANK(RAW_DATA!M80)=0,RAW_DATA!M80,"UNKNOWN")</f>
        <v>No</v>
      </c>
      <c r="K80" s="21" t="str">
        <f>IF(COUNTBLANK(RAW_DATA!N80)=0,RAW_DATA!N80,"UNKNOWN")</f>
        <v>Paid</v>
      </c>
      <c r="L80" s="21">
        <f t="shared" ca="1" si="3"/>
        <v>0</v>
      </c>
      <c r="M80" s="21" t="str">
        <f t="shared" ca="1" si="4"/>
        <v>FULLY_PAID</v>
      </c>
      <c r="N80" s="10" t="e">
        <f t="shared" ca="1" si="5"/>
        <v>#VALUE!</v>
      </c>
    </row>
    <row r="81" spans="1:14">
      <c r="A81" s="21" t="str">
        <f>IF(COUNTBLANK(RAW_DATA!A81)=0,RAW_DATA!A81,"UNKNOWN")</f>
        <v>P1081</v>
      </c>
      <c r="B81" s="21" t="str">
        <f>IF(COUNTBLANK(RAW_DATA!B81)=0,RAW_DATA!B81,"UNKNOWN")</f>
        <v>Ananya</v>
      </c>
      <c r="C81" s="7">
        <f>IF(COUNTBLANK(RAW_DATA!C81)=0,RAW_DATA!C81,"N/A")</f>
        <v>36</v>
      </c>
      <c r="D81" s="21" t="str">
        <f>IF(COUNTBLANK(RAW_DATA!D81)=0,RAW_DATA!D81,"UNKNOWN")</f>
        <v>Female</v>
      </c>
      <c r="E81" s="21" t="str">
        <f>IF(COUNTBLANK(RAW_DATA!E81)=0,RAW_DATA!E81,"UNKNOWN")</f>
        <v>Cardiology</v>
      </c>
      <c r="F81" s="21" t="str">
        <f>IF(COUNTBLANK(RAW_DATA!F81)=0,RAW_DATA!F81,"UNKNOWN")</f>
        <v>Dr. Sen</v>
      </c>
      <c r="G81" s="20">
        <f>IF(COUNTBLANK(RAW_DATA!G81)=0,RAW_DATA!G81,"UNKNOWN")</f>
        <v>45700</v>
      </c>
      <c r="H81" s="21" t="str">
        <f>IF(COUNTBLANK(RAW_DATA!H81)=0,RAW_DATA!H81,"UNKNOWN")</f>
        <v>25-02-2025</v>
      </c>
      <c r="I81" s="21">
        <f>IF(COUNTBLANK(RAW_DATA!L81)=0,RAW_DATA!L81,0)</f>
        <v>28061</v>
      </c>
      <c r="J81" s="21" t="str">
        <f>IF(COUNTBLANK(RAW_DATA!M81)=0,RAW_DATA!M81,"UNKNOWN")</f>
        <v>Yes</v>
      </c>
      <c r="K81" s="21" t="str">
        <f>IF(COUNTBLANK(RAW_DATA!N81)=0,RAW_DATA!N81,"UNKNOWN")</f>
        <v>Paid</v>
      </c>
      <c r="L81" s="21">
        <f t="shared" ca="1" si="3"/>
        <v>0</v>
      </c>
      <c r="M81" s="21" t="str">
        <f t="shared" ca="1" si="4"/>
        <v>FULLY_PAID</v>
      </c>
      <c r="N81" s="10" t="e">
        <f t="shared" ca="1" si="5"/>
        <v>#VALUE!</v>
      </c>
    </row>
    <row r="82" spans="1:14">
      <c r="A82" s="21" t="str">
        <f>IF(COUNTBLANK(RAW_DATA!A82)=0,RAW_DATA!A82,"UNKNOWN")</f>
        <v>P1082</v>
      </c>
      <c r="B82" s="21" t="str">
        <f>IF(COUNTBLANK(RAW_DATA!B82)=0,RAW_DATA!B82,"UNKNOWN")</f>
        <v>Rohit</v>
      </c>
      <c r="C82" s="7">
        <f>IF(COUNTBLANK(RAW_DATA!C82)=0,RAW_DATA!C82,"N/A")</f>
        <v>67</v>
      </c>
      <c r="D82" s="21" t="str">
        <f>IF(COUNTBLANK(RAW_DATA!D82)=0,RAW_DATA!D82,"UNKNOWN")</f>
        <v>Male</v>
      </c>
      <c r="E82" s="21" t="str">
        <f>IF(COUNTBLANK(RAW_DATA!E82)=0,RAW_DATA!E82,"UNKNOWN")</f>
        <v>Pediatrics</v>
      </c>
      <c r="F82" s="21" t="str">
        <f>IF(COUNTBLANK(RAW_DATA!F82)=0,RAW_DATA!F82,"UNKNOWN")</f>
        <v>Dr. Ghosh</v>
      </c>
      <c r="G82" s="20" t="str">
        <f>IF(COUNTBLANK(RAW_DATA!G82)=0,RAW_DATA!G82,"UNKNOWN")</f>
        <v>15-09-2025</v>
      </c>
      <c r="H82" s="21" t="str">
        <f>IF(COUNTBLANK(RAW_DATA!H82)=0,RAW_DATA!H82,"UNKNOWN")</f>
        <v>23-09-2025</v>
      </c>
      <c r="I82" s="21">
        <f>IF(COUNTBLANK(RAW_DATA!L82)=0,RAW_DATA!L82,0)</f>
        <v>41507</v>
      </c>
      <c r="J82" s="21" t="str">
        <f>IF(COUNTBLANK(RAW_DATA!M82)=0,RAW_DATA!M82,"UNKNOWN")</f>
        <v>No</v>
      </c>
      <c r="K82" s="21" t="str">
        <f>IF(COUNTBLANK(RAW_DATA!N82)=0,RAW_DATA!N82,"UNKNOWN")</f>
        <v>Paid</v>
      </c>
      <c r="L82" s="21">
        <f t="shared" ca="1" si="3"/>
        <v>0</v>
      </c>
      <c r="M82" s="21" t="str">
        <f t="shared" ca="1" si="4"/>
        <v>FULLY_PAID</v>
      </c>
      <c r="N82" s="10" t="e">
        <f t="shared" ca="1" si="5"/>
        <v>#VALUE!</v>
      </c>
    </row>
    <row r="83" spans="1:14">
      <c r="A83" s="21" t="str">
        <f>IF(COUNTBLANK(RAW_DATA!A83)=0,RAW_DATA!A83,"UNKNOWN")</f>
        <v>P1083</v>
      </c>
      <c r="B83" s="21" t="str">
        <f>IF(COUNTBLANK(RAW_DATA!B83)=0,RAW_DATA!B83,"UNKNOWN")</f>
        <v xml:space="preserve">Sneha </v>
      </c>
      <c r="C83" s="7" t="str">
        <f>IF(COUNTBLANK(RAW_DATA!C83)=0,RAW_DATA!C83,"N/A")</f>
        <v>N/A</v>
      </c>
      <c r="D83" s="21" t="str">
        <f>IF(COUNTBLANK(RAW_DATA!D83)=0,RAW_DATA!D83,"UNKNOWN")</f>
        <v>Female</v>
      </c>
      <c r="E83" s="21" t="str">
        <f>IF(COUNTBLANK(RAW_DATA!E83)=0,RAW_DATA!E83,"UNKNOWN")</f>
        <v>Orthopedics</v>
      </c>
      <c r="F83" s="21" t="str">
        <f>IF(COUNTBLANK(RAW_DATA!F83)=0,RAW_DATA!F83,"UNKNOWN")</f>
        <v>Dr. Sen</v>
      </c>
      <c r="G83" s="20" t="str">
        <f>IF(COUNTBLANK(RAW_DATA!G83)=0,RAW_DATA!G83,"UNKNOWN")</f>
        <v>07-03-2025</v>
      </c>
      <c r="H83" s="21" t="str">
        <f>IF(COUNTBLANK(RAW_DATA!H83)=0,RAW_DATA!H83,"UNKNOWN")</f>
        <v>09-03-2025</v>
      </c>
      <c r="I83" s="21">
        <f>IF(COUNTBLANK(RAW_DATA!L83)=0,RAW_DATA!L83,0)</f>
        <v>53705</v>
      </c>
      <c r="J83" s="21" t="str">
        <f>IF(COUNTBLANK(RAW_DATA!M83)=0,RAW_DATA!M83,"UNKNOWN")</f>
        <v>No</v>
      </c>
      <c r="K83" s="21" t="str">
        <f>IF(COUNTBLANK(RAW_DATA!N83)=0,RAW_DATA!N83,"UNKNOWN")</f>
        <v>Paid</v>
      </c>
      <c r="L83" s="21">
        <f t="shared" ca="1" si="3"/>
        <v>0</v>
      </c>
      <c r="M83" s="21" t="str">
        <f t="shared" ca="1" si="4"/>
        <v>FULLY_PAID</v>
      </c>
      <c r="N83" s="10">
        <f t="shared" ca="1" si="5"/>
        <v>62</v>
      </c>
    </row>
    <row r="84" spans="1:14">
      <c r="A84" s="21" t="str">
        <f>IF(COUNTBLANK(RAW_DATA!A84)=0,RAW_DATA!A84,"UNKNOWN")</f>
        <v>P1084</v>
      </c>
      <c r="B84" s="21" t="str">
        <f>IF(COUNTBLANK(RAW_DATA!B84)=0,RAW_DATA!B84,"UNKNOWN")</f>
        <v xml:space="preserve">Priya </v>
      </c>
      <c r="C84" s="7" t="str">
        <f>IF(COUNTBLANK(RAW_DATA!C84)=0,RAW_DATA!C84,"N/A")</f>
        <v>N/A</v>
      </c>
      <c r="D84" s="21" t="str">
        <f>IF(COUNTBLANK(RAW_DATA!D84)=0,RAW_DATA!D84,"UNKNOWN")</f>
        <v>Male</v>
      </c>
      <c r="E84" s="21" t="str">
        <f>IF(COUNTBLANK(RAW_DATA!E84)=0,RAW_DATA!E84,"UNKNOWN")</f>
        <v>Neurology</v>
      </c>
      <c r="F84" s="21" t="str">
        <f>IF(COUNTBLANK(RAW_DATA!F84)=0,RAW_DATA!F84,"UNKNOWN")</f>
        <v>Dr. Ghosh</v>
      </c>
      <c r="G84" s="20" t="str">
        <f>IF(COUNTBLANK(RAW_DATA!G84)=0,RAW_DATA!G84,"UNKNOWN")</f>
        <v>16-12-2025</v>
      </c>
      <c r="H84" s="21" t="str">
        <f>IF(COUNTBLANK(RAW_DATA!H84)=0,RAW_DATA!H84,"UNKNOWN")</f>
        <v>17-12-2025</v>
      </c>
      <c r="I84" s="21">
        <f>IF(COUNTBLANK(RAW_DATA!L84)=0,RAW_DATA!L84,0)</f>
        <v>11390</v>
      </c>
      <c r="J84" s="21" t="str">
        <f>IF(COUNTBLANK(RAW_DATA!M84)=0,RAW_DATA!M84,"UNKNOWN")</f>
        <v>Yes</v>
      </c>
      <c r="K84" s="21" t="str">
        <f>IF(COUNTBLANK(RAW_DATA!N84)=0,RAW_DATA!N84,"UNKNOWN")</f>
        <v>Pending</v>
      </c>
      <c r="L84" s="21" t="e">
        <f t="shared" ca="1" si="3"/>
        <v>#VALUE!</v>
      </c>
      <c r="M84" s="21" t="e">
        <f t="shared" ca="1" si="4"/>
        <v>#VALUE!</v>
      </c>
      <c r="N84" s="10" t="e">
        <f t="shared" ca="1" si="5"/>
        <v>#VALUE!</v>
      </c>
    </row>
    <row r="85" spans="1:14">
      <c r="A85" s="21" t="str">
        <f>IF(COUNTBLANK(RAW_DATA!A85)=0,RAW_DATA!A85,"UNKNOWN")</f>
        <v>P1085</v>
      </c>
      <c r="B85" s="21" t="str">
        <f>IF(COUNTBLANK(RAW_DATA!B85)=0,RAW_DATA!B85,"UNKNOWN")</f>
        <v xml:space="preserve">Sneha </v>
      </c>
      <c r="C85" s="7" t="str">
        <f>IF(COUNTBLANK(RAW_DATA!C85)=0,RAW_DATA!C85,"N/A")</f>
        <v>N/A</v>
      </c>
      <c r="D85" s="21" t="str">
        <f>IF(COUNTBLANK(RAW_DATA!D85)=0,RAW_DATA!D85,"UNKNOWN")</f>
        <v>Female</v>
      </c>
      <c r="E85" s="21" t="str">
        <f>IF(COUNTBLANK(RAW_DATA!E85)=0,RAW_DATA!E85,"UNKNOWN")</f>
        <v>Neurology</v>
      </c>
      <c r="F85" s="21" t="str">
        <f>IF(COUNTBLANK(RAW_DATA!F85)=0,RAW_DATA!F85,"UNKNOWN")</f>
        <v>Dr. Ghosh</v>
      </c>
      <c r="G85" s="20" t="str">
        <f>IF(COUNTBLANK(RAW_DATA!G85)=0,RAW_DATA!G85,"UNKNOWN")</f>
        <v>12-06-2025</v>
      </c>
      <c r="H85" s="21" t="str">
        <f>IF(COUNTBLANK(RAW_DATA!H85)=0,RAW_DATA!H85,"UNKNOWN")</f>
        <v>18-06-2025</v>
      </c>
      <c r="I85" s="21">
        <f>IF(COUNTBLANK(RAW_DATA!L85)=0,RAW_DATA!L85,0)</f>
        <v>21472</v>
      </c>
      <c r="J85" s="21" t="str">
        <f>IF(COUNTBLANK(RAW_DATA!M85)=0,RAW_DATA!M85,"UNKNOWN")</f>
        <v>Yes</v>
      </c>
      <c r="K85" s="21" t="str">
        <f>IF(COUNTBLANK(RAW_DATA!N85)=0,RAW_DATA!N85,"UNKNOWN")</f>
        <v>Paid</v>
      </c>
      <c r="L85" s="21">
        <f t="shared" ca="1" si="3"/>
        <v>0</v>
      </c>
      <c r="M85" s="21" t="str">
        <f t="shared" ca="1" si="4"/>
        <v>FULLY_PAID</v>
      </c>
      <c r="N85" s="10" t="e">
        <f t="shared" ca="1" si="5"/>
        <v>#VALUE!</v>
      </c>
    </row>
    <row r="86" spans="1:14">
      <c r="A86" s="21" t="str">
        <f>IF(COUNTBLANK(RAW_DATA!A86)=0,RAW_DATA!A86,"UNKNOWN")</f>
        <v>P1086</v>
      </c>
      <c r="B86" s="21" t="str">
        <f>IF(COUNTBLANK(RAW_DATA!B86)=0,RAW_DATA!B86,"UNKNOWN")</f>
        <v>Kiran</v>
      </c>
      <c r="C86" s="7" t="str">
        <f>IF(COUNTBLANK(RAW_DATA!C86)=0,RAW_DATA!C86,"N/A")</f>
        <v>N/A</v>
      </c>
      <c r="D86" s="21" t="str">
        <f>IF(COUNTBLANK(RAW_DATA!D86)=0,RAW_DATA!D86,"UNKNOWN")</f>
        <v>Female</v>
      </c>
      <c r="E86" s="21" t="str">
        <f>IF(COUNTBLANK(RAW_DATA!E86)=0,RAW_DATA!E86,"UNKNOWN")</f>
        <v>Orthopedics</v>
      </c>
      <c r="F86" s="21" t="str">
        <f>IF(COUNTBLANK(RAW_DATA!F86)=0,RAW_DATA!F86,"UNKNOWN")</f>
        <v>Dr. Sen</v>
      </c>
      <c r="G86" s="20" t="str">
        <f>IF(COUNTBLANK(RAW_DATA!G86)=0,RAW_DATA!G86,"UNKNOWN")</f>
        <v>23-06-2025</v>
      </c>
      <c r="H86" s="21" t="str">
        <f>IF(COUNTBLANK(RAW_DATA!H86)=0,RAW_DATA!H86,"UNKNOWN")</f>
        <v>03-07-2025</v>
      </c>
      <c r="I86" s="21">
        <f>IF(COUNTBLANK(RAW_DATA!L86)=0,RAW_DATA!L86,0)</f>
        <v>45856</v>
      </c>
      <c r="J86" s="21" t="str">
        <f>IF(COUNTBLANK(RAW_DATA!M86)=0,RAW_DATA!M86,"UNKNOWN")</f>
        <v>No</v>
      </c>
      <c r="K86" s="21" t="str">
        <f>IF(COUNTBLANK(RAW_DATA!N86)=0,RAW_DATA!N86,"UNKNOWN")</f>
        <v>Paid</v>
      </c>
      <c r="L86" s="21">
        <f t="shared" ca="1" si="3"/>
        <v>0</v>
      </c>
      <c r="M86" s="21" t="str">
        <f t="shared" ca="1" si="4"/>
        <v>FULLY_PAID</v>
      </c>
      <c r="N86" s="10" t="e">
        <f t="shared" ca="1" si="5"/>
        <v>#VALUE!</v>
      </c>
    </row>
    <row r="87" spans="1:14">
      <c r="A87" s="21" t="str">
        <f>IF(COUNTBLANK(RAW_DATA!A87)=0,RAW_DATA!A87,"UNKNOWN")</f>
        <v>P1087</v>
      </c>
      <c r="B87" s="21" t="str">
        <f>IF(COUNTBLANK(RAW_DATA!B87)=0,RAW_DATA!B87,"UNKNOWN")</f>
        <v xml:space="preserve">Sneha </v>
      </c>
      <c r="C87" s="7" t="str">
        <f>IF(COUNTBLANK(RAW_DATA!C87)=0,RAW_DATA!C87,"N/A")</f>
        <v>N/A</v>
      </c>
      <c r="D87" s="21" t="str">
        <f>IF(COUNTBLANK(RAW_DATA!D87)=0,RAW_DATA!D87,"UNKNOWN")</f>
        <v>Female</v>
      </c>
      <c r="E87" s="21" t="str">
        <f>IF(COUNTBLANK(RAW_DATA!E87)=0,RAW_DATA!E87,"UNKNOWN")</f>
        <v>Neurology</v>
      </c>
      <c r="F87" s="21" t="str">
        <f>IF(COUNTBLANK(RAW_DATA!F87)=0,RAW_DATA!F87,"UNKNOWN")</f>
        <v>Dr. Roy</v>
      </c>
      <c r="G87" s="20" t="str">
        <f>IF(COUNTBLANK(RAW_DATA!G87)=0,RAW_DATA!G87,"UNKNOWN")</f>
        <v>16-06-2025</v>
      </c>
      <c r="H87" s="21" t="str">
        <f>IF(COUNTBLANK(RAW_DATA!H87)=0,RAW_DATA!H87,"UNKNOWN")</f>
        <v>19-06-2025</v>
      </c>
      <c r="I87" s="21">
        <f>IF(COUNTBLANK(RAW_DATA!L87)=0,RAW_DATA!L87,0)</f>
        <v>44597</v>
      </c>
      <c r="J87" s="21" t="str">
        <f>IF(COUNTBLANK(RAW_DATA!M87)=0,RAW_DATA!M87,"UNKNOWN")</f>
        <v>No</v>
      </c>
      <c r="K87" s="21" t="str">
        <f>IF(COUNTBLANK(RAW_DATA!N87)=0,RAW_DATA!N87,"UNKNOWN")</f>
        <v>Pending</v>
      </c>
      <c r="L87" s="21" t="e">
        <f t="shared" ca="1" si="3"/>
        <v>#VALUE!</v>
      </c>
      <c r="M87" s="21" t="e">
        <f t="shared" ca="1" si="4"/>
        <v>#VALUE!</v>
      </c>
      <c r="N87" s="10" t="e">
        <f t="shared" ca="1" si="5"/>
        <v>#VALUE!</v>
      </c>
    </row>
    <row r="88" spans="1:14">
      <c r="A88" s="21" t="str">
        <f>IF(COUNTBLANK(RAW_DATA!A88)=0,RAW_DATA!A88,"UNKNOWN")</f>
        <v>P1088</v>
      </c>
      <c r="B88" s="21" t="str">
        <f>IF(COUNTBLANK(RAW_DATA!B88)=0,RAW_DATA!B88,"UNKNOWN")</f>
        <v>UNKNOWN</v>
      </c>
      <c r="C88" s="7" t="str">
        <f>IF(COUNTBLANK(RAW_DATA!C88)=0,RAW_DATA!C88,"N/A")</f>
        <v>N/A</v>
      </c>
      <c r="D88" s="21" t="str">
        <f>IF(COUNTBLANK(RAW_DATA!D88)=0,RAW_DATA!D88,"UNKNOWN")</f>
        <v>Female</v>
      </c>
      <c r="E88" s="21" t="str">
        <f>IF(COUNTBLANK(RAW_DATA!E88)=0,RAW_DATA!E88,"UNKNOWN")</f>
        <v>UNKNOWN</v>
      </c>
      <c r="F88" s="21" t="str">
        <f>IF(COUNTBLANK(RAW_DATA!F88)=0,RAW_DATA!F88,"UNKNOWN")</f>
        <v>Dr. Ghosh</v>
      </c>
      <c r="G88" s="20" t="str">
        <f>IF(COUNTBLANK(RAW_DATA!G88)=0,RAW_DATA!G88,"UNKNOWN")</f>
        <v>10-03-2025</v>
      </c>
      <c r="H88" s="21" t="str">
        <f>IF(COUNTBLANK(RAW_DATA!H88)=0,RAW_DATA!H88,"UNKNOWN")</f>
        <v>16-03-2025</v>
      </c>
      <c r="I88" s="21">
        <f>IF(COUNTBLANK(RAW_DATA!L88)=0,RAW_DATA!L88,0)</f>
        <v>24737</v>
      </c>
      <c r="J88" s="21" t="str">
        <f>IF(COUNTBLANK(RAW_DATA!M88)=0,RAW_DATA!M88,"UNKNOWN")</f>
        <v>Yes</v>
      </c>
      <c r="K88" s="21" t="str">
        <f>IF(COUNTBLANK(RAW_DATA!N88)=0,RAW_DATA!N88,"UNKNOWN")</f>
        <v>Paid</v>
      </c>
      <c r="L88" s="21">
        <f t="shared" ca="1" si="3"/>
        <v>0</v>
      </c>
      <c r="M88" s="21" t="str">
        <f t="shared" ca="1" si="4"/>
        <v>FULLY_PAID</v>
      </c>
      <c r="N88" s="10" t="e">
        <f t="shared" ca="1" si="5"/>
        <v>#VALUE!</v>
      </c>
    </row>
    <row r="89" spans="1:14">
      <c r="A89" s="21" t="str">
        <f>IF(COUNTBLANK(RAW_DATA!A89)=0,RAW_DATA!A89,"UNKNOWN")</f>
        <v>P1089</v>
      </c>
      <c r="B89" s="21" t="str">
        <f>IF(COUNTBLANK(RAW_DATA!B89)=0,RAW_DATA!B89,"UNKNOWN")</f>
        <v>Kiran</v>
      </c>
      <c r="C89" s="7">
        <f>IF(COUNTBLANK(RAW_DATA!C89)=0,RAW_DATA!C89,"N/A")</f>
        <v>77</v>
      </c>
      <c r="D89" s="21" t="str">
        <f>IF(COUNTBLANK(RAW_DATA!D89)=0,RAW_DATA!D89,"UNKNOWN")</f>
        <v>Male</v>
      </c>
      <c r="E89" s="21" t="str">
        <f>IF(COUNTBLANK(RAW_DATA!E89)=0,RAW_DATA!E89,"UNKNOWN")</f>
        <v>Pediatrics</v>
      </c>
      <c r="F89" s="21" t="str">
        <f>IF(COUNTBLANK(RAW_DATA!F89)=0,RAW_DATA!F89,"UNKNOWN")</f>
        <v>Dr. Sen</v>
      </c>
      <c r="G89" s="20" t="str">
        <f>IF(COUNTBLANK(RAW_DATA!G89)=0,RAW_DATA!G89,"UNKNOWN")</f>
        <v>06-04-2025</v>
      </c>
      <c r="H89" s="21" t="str">
        <f>IF(COUNTBLANK(RAW_DATA!H89)=0,RAW_DATA!H89,"UNKNOWN")</f>
        <v>13-04-2025</v>
      </c>
      <c r="I89" s="21">
        <f>IF(COUNTBLANK(RAW_DATA!L89)=0,RAW_DATA!L89,0)</f>
        <v>47257</v>
      </c>
      <c r="J89" s="21" t="str">
        <f>IF(COUNTBLANK(RAW_DATA!M89)=0,RAW_DATA!M89,"UNKNOWN")</f>
        <v>Yes</v>
      </c>
      <c r="K89" s="21" t="str">
        <f>IF(COUNTBLANK(RAW_DATA!N89)=0,RAW_DATA!N89,"UNKNOWN")</f>
        <v>Paid</v>
      </c>
      <c r="L89" s="21">
        <f t="shared" ca="1" si="3"/>
        <v>0</v>
      </c>
      <c r="M89" s="21" t="str">
        <f t="shared" ca="1" si="4"/>
        <v>FULLY_PAID</v>
      </c>
      <c r="N89" s="10" t="e">
        <f t="shared" ca="1" si="5"/>
        <v>#VALUE!</v>
      </c>
    </row>
    <row r="90" spans="1:14">
      <c r="A90" s="21" t="str">
        <f>IF(COUNTBLANK(RAW_DATA!A90)=0,RAW_DATA!A90,"UNKNOWN")</f>
        <v>P1090</v>
      </c>
      <c r="B90" s="21" t="str">
        <f>IF(COUNTBLANK(RAW_DATA!B90)=0,RAW_DATA!B90,"UNKNOWN")</f>
        <v>Ananya</v>
      </c>
      <c r="C90" s="7">
        <f>IF(COUNTBLANK(RAW_DATA!C90)=0,RAW_DATA!C90,"N/A")</f>
        <v>53</v>
      </c>
      <c r="D90" s="21" t="str">
        <f>IF(COUNTBLANK(RAW_DATA!D90)=0,RAW_DATA!D90,"UNKNOWN")</f>
        <v>Male</v>
      </c>
      <c r="E90" s="21" t="str">
        <f>IF(COUNTBLANK(RAW_DATA!E90)=0,RAW_DATA!E90,"UNKNOWN")</f>
        <v>Pediatrics</v>
      </c>
      <c r="F90" s="21" t="str">
        <f>IF(COUNTBLANK(RAW_DATA!F90)=0,RAW_DATA!F90,"UNKNOWN")</f>
        <v>Dr. Das</v>
      </c>
      <c r="G90" s="20" t="str">
        <f>IF(COUNTBLANK(RAW_DATA!G90)=0,RAW_DATA!G90,"UNKNOWN")</f>
        <v>16-11-2025</v>
      </c>
      <c r="H90" s="21" t="str">
        <f>IF(COUNTBLANK(RAW_DATA!H90)=0,RAW_DATA!H90,"UNKNOWN")</f>
        <v>24-11-2025</v>
      </c>
      <c r="I90" s="21">
        <f>IF(COUNTBLANK(RAW_DATA!L90)=0,RAW_DATA!L90,0)</f>
        <v>65379</v>
      </c>
      <c r="J90" s="21" t="str">
        <f>IF(COUNTBLANK(RAW_DATA!M90)=0,RAW_DATA!M90,"UNKNOWN")</f>
        <v>No</v>
      </c>
      <c r="K90" s="21" t="str">
        <f>IF(COUNTBLANK(RAW_DATA!N90)=0,RAW_DATA!N90,"UNKNOWN")</f>
        <v>Pending</v>
      </c>
      <c r="L90" s="21" t="e">
        <f t="shared" ca="1" si="3"/>
        <v>#VALUE!</v>
      </c>
      <c r="M90" s="21" t="e">
        <f t="shared" ca="1" si="4"/>
        <v>#VALUE!</v>
      </c>
      <c r="N90" s="10" t="e">
        <f t="shared" ca="1" si="5"/>
        <v>#VALUE!</v>
      </c>
    </row>
    <row r="91" spans="1:14">
      <c r="A91" s="21" t="str">
        <f>IF(COUNTBLANK(RAW_DATA!A91)=0,RAW_DATA!A91,"UNKNOWN")</f>
        <v>P1091</v>
      </c>
      <c r="B91" s="21" t="str">
        <f>IF(COUNTBLANK(RAW_DATA!B91)=0,RAW_DATA!B91,"UNKNOWN")</f>
        <v>Rohit</v>
      </c>
      <c r="C91" s="7" t="str">
        <f>IF(COUNTBLANK(RAW_DATA!C91)=0,RAW_DATA!C91,"N/A")</f>
        <v>N/A</v>
      </c>
      <c r="D91" s="21" t="str">
        <f>IF(COUNTBLANK(RAW_DATA!D91)=0,RAW_DATA!D91,"UNKNOWN")</f>
        <v>Male</v>
      </c>
      <c r="E91" s="21" t="str">
        <f>IF(COUNTBLANK(RAW_DATA!E91)=0,RAW_DATA!E91,"UNKNOWN")</f>
        <v>General</v>
      </c>
      <c r="F91" s="21" t="str">
        <f>IF(COUNTBLANK(RAW_DATA!F91)=0,RAW_DATA!F91,"UNKNOWN")</f>
        <v>Dr. Roy</v>
      </c>
      <c r="G91" s="20" t="str">
        <f>IF(COUNTBLANK(RAW_DATA!G91)=0,RAW_DATA!G91,"UNKNOWN")</f>
        <v>10-03-2025</v>
      </c>
      <c r="H91" s="21" t="str">
        <f>IF(COUNTBLANK(RAW_DATA!H91)=0,RAW_DATA!H91,"UNKNOWN")</f>
        <v>14-03-2025</v>
      </c>
      <c r="I91" s="21">
        <f>IF(COUNTBLANK(RAW_DATA!L91)=0,RAW_DATA!L91,0)</f>
        <v>37835</v>
      </c>
      <c r="J91" s="21" t="str">
        <f>IF(COUNTBLANK(RAW_DATA!M91)=0,RAW_DATA!M91,"UNKNOWN")</f>
        <v>Yes</v>
      </c>
      <c r="K91" s="21" t="str">
        <f>IF(COUNTBLANK(RAW_DATA!N91)=0,RAW_DATA!N91,"UNKNOWN")</f>
        <v>Pending</v>
      </c>
      <c r="L91" s="21">
        <f t="shared" ca="1" si="3"/>
        <v>229</v>
      </c>
      <c r="M91" s="21" t="str">
        <f t="shared" ca="1" si="4"/>
        <v>61+ DAYS OVERDUE</v>
      </c>
      <c r="N91" s="10" t="e">
        <f t="shared" ca="1" si="5"/>
        <v>#VALUE!</v>
      </c>
    </row>
    <row r="92" spans="1:14">
      <c r="A92" s="21" t="str">
        <f>IF(COUNTBLANK(RAW_DATA!A92)=0,RAW_DATA!A92,"UNKNOWN")</f>
        <v>P1092</v>
      </c>
      <c r="B92" s="21" t="str">
        <f>IF(COUNTBLANK(RAW_DATA!B92)=0,RAW_DATA!B92,"UNKNOWN")</f>
        <v>Kiran</v>
      </c>
      <c r="C92" s="7">
        <f>IF(COUNTBLANK(RAW_DATA!C92)=0,RAW_DATA!C92,"N/A")</f>
        <v>50</v>
      </c>
      <c r="D92" s="21" t="str">
        <f>IF(COUNTBLANK(RAW_DATA!D92)=0,RAW_DATA!D92,"UNKNOWN")</f>
        <v>Male</v>
      </c>
      <c r="E92" s="21" t="str">
        <f>IF(COUNTBLANK(RAW_DATA!E92)=0,RAW_DATA!E92,"UNKNOWN")</f>
        <v>Neurology</v>
      </c>
      <c r="F92" s="21" t="str">
        <f>IF(COUNTBLANK(RAW_DATA!F92)=0,RAW_DATA!F92,"UNKNOWN")</f>
        <v>Dr. Das</v>
      </c>
      <c r="G92" s="20" t="str">
        <f>IF(COUNTBLANK(RAW_DATA!G92)=0,RAW_DATA!G92,"UNKNOWN")</f>
        <v>25-08-2025</v>
      </c>
      <c r="H92" s="21" t="str">
        <f>IF(COUNTBLANK(RAW_DATA!H92)=0,RAW_DATA!H92,"UNKNOWN")</f>
        <v>30-08-2025</v>
      </c>
      <c r="I92" s="21">
        <f>IF(COUNTBLANK(RAW_DATA!L92)=0,RAW_DATA!L92,0)</f>
        <v>38194</v>
      </c>
      <c r="J92" s="21" t="str">
        <f>IF(COUNTBLANK(RAW_DATA!M92)=0,RAW_DATA!M92,"UNKNOWN")</f>
        <v>Yes</v>
      </c>
      <c r="K92" s="21" t="str">
        <f>IF(COUNTBLANK(RAW_DATA!N92)=0,RAW_DATA!N92,"UNKNOWN")</f>
        <v>Paid</v>
      </c>
      <c r="L92" s="21">
        <f t="shared" ca="1" si="3"/>
        <v>0</v>
      </c>
      <c r="M92" s="21" t="str">
        <f t="shared" ca="1" si="4"/>
        <v>FULLY_PAID</v>
      </c>
      <c r="N92" s="10" t="e">
        <f t="shared" ca="1" si="5"/>
        <v>#VALUE!</v>
      </c>
    </row>
    <row r="93" spans="1:14">
      <c r="A93" s="21" t="str">
        <f>IF(COUNTBLANK(RAW_DATA!A93)=0,RAW_DATA!A93,"UNKNOWN")</f>
        <v>P1093</v>
      </c>
      <c r="B93" s="21" t="str">
        <f>IF(COUNTBLANK(RAW_DATA!B93)=0,RAW_DATA!B93,"UNKNOWN")</f>
        <v xml:space="preserve">Sneha </v>
      </c>
      <c r="C93" s="7">
        <f>IF(COUNTBLANK(RAW_DATA!C93)=0,RAW_DATA!C93,"N/A")</f>
        <v>22</v>
      </c>
      <c r="D93" s="21" t="str">
        <f>IF(COUNTBLANK(RAW_DATA!D93)=0,RAW_DATA!D93,"UNKNOWN")</f>
        <v>Female</v>
      </c>
      <c r="E93" s="21" t="str">
        <f>IF(COUNTBLANK(RAW_DATA!E93)=0,RAW_DATA!E93,"UNKNOWN")</f>
        <v>Cardiology</v>
      </c>
      <c r="F93" s="21" t="str">
        <f>IF(COUNTBLANK(RAW_DATA!F93)=0,RAW_DATA!F93,"UNKNOWN")</f>
        <v>Dr. Khan</v>
      </c>
      <c r="G93" s="20" t="str">
        <f>IF(COUNTBLANK(RAW_DATA!G93)=0,RAW_DATA!G93,"UNKNOWN")</f>
        <v>04-12-2025</v>
      </c>
      <c r="H93" s="21" t="str">
        <f>IF(COUNTBLANK(RAW_DATA!H93)=0,RAW_DATA!H93,"UNKNOWN")</f>
        <v>14-12-2025</v>
      </c>
      <c r="I93" s="21">
        <f>IF(COUNTBLANK(RAW_DATA!L93)=0,RAW_DATA!L93,0)</f>
        <v>57297</v>
      </c>
      <c r="J93" s="21" t="str">
        <f>IF(COUNTBLANK(RAW_DATA!M93)=0,RAW_DATA!M93,"UNKNOWN")</f>
        <v>Yes</v>
      </c>
      <c r="K93" s="21" t="str">
        <f>IF(COUNTBLANK(RAW_DATA!N93)=0,RAW_DATA!N93,"UNKNOWN")</f>
        <v>Pending</v>
      </c>
      <c r="L93" s="21">
        <f t="shared" ca="1" si="3"/>
        <v>403</v>
      </c>
      <c r="M93" s="21" t="str">
        <f t="shared" ca="1" si="4"/>
        <v>61+ DAYS OVERDUE</v>
      </c>
      <c r="N93" s="10" t="e">
        <f t="shared" ca="1" si="5"/>
        <v>#VALUE!</v>
      </c>
    </row>
    <row r="94" spans="1:14">
      <c r="A94" s="21" t="str">
        <f>IF(COUNTBLANK(RAW_DATA!A94)=0,RAW_DATA!A94,"UNKNOWN")</f>
        <v>P1094</v>
      </c>
      <c r="B94" s="21" t="str">
        <f>IF(COUNTBLANK(RAW_DATA!B94)=0,RAW_DATA!B94,"UNKNOWN")</f>
        <v>Sneha</v>
      </c>
      <c r="C94" s="7" t="str">
        <f>IF(COUNTBLANK(RAW_DATA!C94)=0,RAW_DATA!C94,"N/A")</f>
        <v>N/A</v>
      </c>
      <c r="D94" s="21" t="str">
        <f>IF(COUNTBLANK(RAW_DATA!D94)=0,RAW_DATA!D94,"UNKNOWN")</f>
        <v>Male</v>
      </c>
      <c r="E94" s="21" t="str">
        <f>IF(COUNTBLANK(RAW_DATA!E94)=0,RAW_DATA!E94,"UNKNOWN")</f>
        <v>Cardiology</v>
      </c>
      <c r="F94" s="21" t="str">
        <f>IF(COUNTBLANK(RAW_DATA!F94)=0,RAW_DATA!F94,"UNKNOWN")</f>
        <v>Dr. Roy</v>
      </c>
      <c r="G94" s="20" t="str">
        <f>IF(COUNTBLANK(RAW_DATA!G94)=0,RAW_DATA!G94,"UNKNOWN")</f>
        <v>28-01-2025</v>
      </c>
      <c r="H94" s="21" t="str">
        <f>IF(COUNTBLANK(RAW_DATA!H94)=0,RAW_DATA!H94,"UNKNOWN")</f>
        <v>04-02-2025</v>
      </c>
      <c r="I94" s="21">
        <f>IF(COUNTBLANK(RAW_DATA!L94)=0,RAW_DATA!L94,0)</f>
        <v>50185</v>
      </c>
      <c r="J94" s="21" t="str">
        <f>IF(COUNTBLANK(RAW_DATA!M94)=0,RAW_DATA!M94,"UNKNOWN")</f>
        <v>No</v>
      </c>
      <c r="K94" s="21" t="str">
        <f>IF(COUNTBLANK(RAW_DATA!N94)=0,RAW_DATA!N94,"UNKNOWN")</f>
        <v>UNKNOWN</v>
      </c>
      <c r="L94" s="21">
        <f t="shared" ca="1" si="3"/>
        <v>0</v>
      </c>
      <c r="M94" s="21" t="str">
        <f t="shared" ca="1" si="4"/>
        <v>FULLY_PAID</v>
      </c>
      <c r="N94" s="10" t="e">
        <f t="shared" ca="1" si="5"/>
        <v>#VALUE!</v>
      </c>
    </row>
    <row r="95" spans="1:14">
      <c r="A95" s="21" t="str">
        <f>IF(COUNTBLANK(RAW_DATA!A95)=0,RAW_DATA!A95,"UNKNOWN")</f>
        <v>UNKNOWN</v>
      </c>
      <c r="B95" s="21" t="str">
        <f>IF(COUNTBLANK(RAW_DATA!B95)=0,RAW_DATA!B95,"UNKNOWN")</f>
        <v xml:space="preserve">Ananya </v>
      </c>
      <c r="C95" s="7" t="str">
        <f>IF(COUNTBLANK(RAW_DATA!C95)=0,RAW_DATA!C95,"N/A")</f>
        <v>N/A</v>
      </c>
      <c r="D95" s="21" t="str">
        <f>IF(COUNTBLANK(RAW_DATA!D95)=0,RAW_DATA!D95,"UNKNOWN")</f>
        <v>Female</v>
      </c>
      <c r="E95" s="21" t="str">
        <f>IF(COUNTBLANK(RAW_DATA!E95)=0,RAW_DATA!E95,"UNKNOWN")</f>
        <v>General</v>
      </c>
      <c r="F95" s="21" t="str">
        <f>IF(COUNTBLANK(RAW_DATA!F95)=0,RAW_DATA!F95,"UNKNOWN")</f>
        <v>Dr. Ghosh</v>
      </c>
      <c r="G95" s="20" t="str">
        <f>IF(COUNTBLANK(RAW_DATA!G95)=0,RAW_DATA!G95,"UNKNOWN")</f>
        <v>28-12-2025</v>
      </c>
      <c r="H95" s="21" t="str">
        <f>IF(COUNTBLANK(RAW_DATA!H95)=0,RAW_DATA!H95,"UNKNOWN")</f>
        <v>04-01-2026</v>
      </c>
      <c r="I95" s="21">
        <f>IF(COUNTBLANK(RAW_DATA!L95)=0,RAW_DATA!L95,0)</f>
        <v>20840</v>
      </c>
      <c r="J95" s="21" t="str">
        <f>IF(COUNTBLANK(RAW_DATA!M95)=0,RAW_DATA!M95,"UNKNOWN")</f>
        <v>No</v>
      </c>
      <c r="K95" s="21" t="str">
        <f>IF(COUNTBLANK(RAW_DATA!N95)=0,RAW_DATA!N95,"UNKNOWN")</f>
        <v>Paid</v>
      </c>
      <c r="L95" s="21">
        <f t="shared" ca="1" si="3"/>
        <v>0</v>
      </c>
      <c r="M95" s="21" t="str">
        <f t="shared" ca="1" si="4"/>
        <v>FULLY_PAID</v>
      </c>
      <c r="N95" s="10" t="e">
        <f t="shared" ca="1" si="5"/>
        <v>#VALUE!</v>
      </c>
    </row>
    <row r="96" spans="1:14">
      <c r="A96" s="21" t="str">
        <f>IF(COUNTBLANK(RAW_DATA!A96)=0,RAW_DATA!A96,"UNKNOWN")</f>
        <v>P1096</v>
      </c>
      <c r="B96" s="21" t="str">
        <f>IF(COUNTBLANK(RAW_DATA!B96)=0,RAW_DATA!B96,"UNKNOWN")</f>
        <v xml:space="preserve">Rahul </v>
      </c>
      <c r="C96" s="7" t="str">
        <f>IF(COUNTBLANK(RAW_DATA!C96)=0,RAW_DATA!C96,"N/A")</f>
        <v>N/A</v>
      </c>
      <c r="D96" s="21" t="str">
        <f>IF(COUNTBLANK(RAW_DATA!D96)=0,RAW_DATA!D96,"UNKNOWN")</f>
        <v>Male</v>
      </c>
      <c r="E96" s="21" t="str">
        <f>IF(COUNTBLANK(RAW_DATA!E96)=0,RAW_DATA!E96,"UNKNOWN")</f>
        <v>Neurology</v>
      </c>
      <c r="F96" s="21" t="str">
        <f>IF(COUNTBLANK(RAW_DATA!F96)=0,RAW_DATA!F96,"UNKNOWN")</f>
        <v>Dr. Khan</v>
      </c>
      <c r="G96" s="20" t="str">
        <f>IF(COUNTBLANK(RAW_DATA!G96)=0,RAW_DATA!G96,"UNKNOWN")</f>
        <v>24-10-2025</v>
      </c>
      <c r="H96" s="21" t="str">
        <f>IF(COUNTBLANK(RAW_DATA!H96)=0,RAW_DATA!H96,"UNKNOWN")</f>
        <v>02-11-2025</v>
      </c>
      <c r="I96" s="21">
        <f>IF(COUNTBLANK(RAW_DATA!L96)=0,RAW_DATA!L96,0)</f>
        <v>50720</v>
      </c>
      <c r="J96" s="21" t="str">
        <f>IF(COUNTBLANK(RAW_DATA!M96)=0,RAW_DATA!M96,"UNKNOWN")</f>
        <v>No</v>
      </c>
      <c r="K96" s="21" t="str">
        <f>IF(COUNTBLANK(RAW_DATA!N96)=0,RAW_DATA!N96,"UNKNOWN")</f>
        <v>Paid</v>
      </c>
      <c r="L96" s="21">
        <f t="shared" ca="1" si="3"/>
        <v>0</v>
      </c>
      <c r="M96" s="21" t="str">
        <f t="shared" ca="1" si="4"/>
        <v>FULLY_PAID</v>
      </c>
      <c r="N96" s="10" t="e">
        <f t="shared" ca="1" si="5"/>
        <v>#VALUE!</v>
      </c>
    </row>
    <row r="97" spans="1:14">
      <c r="A97" s="21" t="str">
        <f>IF(COUNTBLANK(RAW_DATA!A97)=0,RAW_DATA!A97,"UNKNOWN")</f>
        <v>P1097</v>
      </c>
      <c r="B97" s="21" t="str">
        <f>IF(COUNTBLANK(RAW_DATA!B97)=0,RAW_DATA!B97,"UNKNOWN")</f>
        <v>Neha</v>
      </c>
      <c r="C97" s="7">
        <f>IF(COUNTBLANK(RAW_DATA!C97)=0,RAW_DATA!C97,"N/A")</f>
        <v>78</v>
      </c>
      <c r="D97" s="21" t="str">
        <f>IF(COUNTBLANK(RAW_DATA!D97)=0,RAW_DATA!D97,"UNKNOWN")</f>
        <v>UNKNOWN</v>
      </c>
      <c r="E97" s="21" t="str">
        <f>IF(COUNTBLANK(RAW_DATA!E97)=0,RAW_DATA!E97,"UNKNOWN")</f>
        <v>Pediatrics</v>
      </c>
      <c r="F97" s="21" t="str">
        <f>IF(COUNTBLANK(RAW_DATA!F97)=0,RAW_DATA!F97,"UNKNOWN")</f>
        <v>Dr. Roy</v>
      </c>
      <c r="G97" s="20" t="str">
        <f>IF(COUNTBLANK(RAW_DATA!G97)=0,RAW_DATA!G97,"UNKNOWN")</f>
        <v>23-01-2025</v>
      </c>
      <c r="H97" s="21" t="str">
        <f>IF(COUNTBLANK(RAW_DATA!H97)=0,RAW_DATA!H97,"UNKNOWN")</f>
        <v>31-01-2025</v>
      </c>
      <c r="I97" s="21">
        <f>IF(COUNTBLANK(RAW_DATA!L97)=0,RAW_DATA!L97,0)</f>
        <v>8363</v>
      </c>
      <c r="J97" s="21" t="str">
        <f>IF(COUNTBLANK(RAW_DATA!M97)=0,RAW_DATA!M97,"UNKNOWN")</f>
        <v>UNKNOWN</v>
      </c>
      <c r="K97" s="21" t="str">
        <f>IF(COUNTBLANK(RAW_DATA!N97)=0,RAW_DATA!N97,"UNKNOWN")</f>
        <v>Paid</v>
      </c>
      <c r="L97" s="21">
        <f t="shared" ca="1" si="3"/>
        <v>0</v>
      </c>
      <c r="M97" s="21" t="str">
        <f t="shared" ca="1" si="4"/>
        <v>FULLY_PAID</v>
      </c>
      <c r="N97" s="10" t="e">
        <f t="shared" ca="1" si="5"/>
        <v>#VALUE!</v>
      </c>
    </row>
    <row r="98" spans="1:14">
      <c r="A98" s="21" t="str">
        <f>IF(COUNTBLANK(RAW_DATA!A98)=0,RAW_DATA!A98,"UNKNOWN")</f>
        <v>P1098</v>
      </c>
      <c r="B98" s="21" t="str">
        <f>IF(COUNTBLANK(RAW_DATA!B98)=0,RAW_DATA!B98,"UNKNOWN")</f>
        <v>Rohit</v>
      </c>
      <c r="C98" s="7" t="str">
        <f>IF(COUNTBLANK(RAW_DATA!C98)=0,RAW_DATA!C98,"N/A")</f>
        <v>N/A</v>
      </c>
      <c r="D98" s="21" t="str">
        <f>IF(COUNTBLANK(RAW_DATA!D98)=0,RAW_DATA!D98,"UNKNOWN")</f>
        <v>Male</v>
      </c>
      <c r="E98" s="21" t="str">
        <f>IF(COUNTBLANK(RAW_DATA!E98)=0,RAW_DATA!E98,"UNKNOWN")</f>
        <v>Cardiology</v>
      </c>
      <c r="F98" s="21" t="str">
        <f>IF(COUNTBLANK(RAW_DATA!F98)=0,RAW_DATA!F98,"UNKNOWN")</f>
        <v>UNKNOWN</v>
      </c>
      <c r="G98" s="20" t="str">
        <f>IF(COUNTBLANK(RAW_DATA!G98)=0,RAW_DATA!G98,"UNKNOWN")</f>
        <v>01-01-2026</v>
      </c>
      <c r="H98" s="21" t="str">
        <f>IF(COUNTBLANK(RAW_DATA!H98)=0,RAW_DATA!H98,"UNKNOWN")</f>
        <v>02-01-2026</v>
      </c>
      <c r="I98" s="21">
        <f>IF(COUNTBLANK(RAW_DATA!L98)=0,RAW_DATA!L98,0)</f>
        <v>37948</v>
      </c>
      <c r="J98" s="21" t="str">
        <f>IF(COUNTBLANK(RAW_DATA!M98)=0,RAW_DATA!M98,"UNKNOWN")</f>
        <v>Yes</v>
      </c>
      <c r="K98" s="21" t="str">
        <f>IF(COUNTBLANK(RAW_DATA!N98)=0,RAW_DATA!N98,"UNKNOWN")</f>
        <v>Paid</v>
      </c>
      <c r="L98" s="21">
        <f t="shared" ca="1" si="3"/>
        <v>0</v>
      </c>
      <c r="M98" s="21" t="str">
        <f t="shared" ca="1" si="4"/>
        <v>FULLY_PAID</v>
      </c>
      <c r="N98" s="10">
        <f t="shared" ca="1" si="5"/>
        <v>31</v>
      </c>
    </row>
    <row r="99" spans="1:14">
      <c r="A99" s="21" t="str">
        <f>IF(COUNTBLANK(RAW_DATA!A99)=0,RAW_DATA!A99,"UNKNOWN")</f>
        <v>P1099</v>
      </c>
      <c r="B99" s="21" t="str">
        <f>IF(COUNTBLANK(RAW_DATA!B99)=0,RAW_DATA!B99,"UNKNOWN")</f>
        <v>UNKNOWN</v>
      </c>
      <c r="C99" s="7">
        <f>IF(COUNTBLANK(RAW_DATA!C99)=0,RAW_DATA!C99,"N/A")</f>
        <v>67</v>
      </c>
      <c r="D99" s="21" t="str">
        <f>IF(COUNTBLANK(RAW_DATA!D99)=0,RAW_DATA!D99,"UNKNOWN")</f>
        <v>Male</v>
      </c>
      <c r="E99" s="21" t="str">
        <f>IF(COUNTBLANK(RAW_DATA!E99)=0,RAW_DATA!E99,"UNKNOWN")</f>
        <v>General</v>
      </c>
      <c r="F99" s="21" t="str">
        <f>IF(COUNTBLANK(RAW_DATA!F99)=0,RAW_DATA!F99,"UNKNOWN")</f>
        <v>Dr. Das</v>
      </c>
      <c r="G99" s="20" t="str">
        <f>IF(COUNTBLANK(RAW_DATA!G99)=0,RAW_DATA!G99,"UNKNOWN")</f>
        <v>25-06-2025</v>
      </c>
      <c r="H99" s="21" t="str">
        <f>IF(COUNTBLANK(RAW_DATA!H99)=0,RAW_DATA!H99,"UNKNOWN")</f>
        <v>UNKNOWN</v>
      </c>
      <c r="I99" s="21">
        <f>IF(COUNTBLANK(RAW_DATA!L99)=0,RAW_DATA!L99,0)</f>
        <v>31621</v>
      </c>
      <c r="J99" s="21" t="str">
        <f>IF(COUNTBLANK(RAW_DATA!M99)=0,RAW_DATA!M99,"UNKNOWN")</f>
        <v>Yes</v>
      </c>
      <c r="K99" s="21" t="str">
        <f>IF(COUNTBLANK(RAW_DATA!N99)=0,RAW_DATA!N99,"UNKNOWN")</f>
        <v>Pending</v>
      </c>
      <c r="L99" s="21" t="e">
        <f t="shared" ca="1" si="3"/>
        <v>#VALUE!</v>
      </c>
      <c r="M99" s="21" t="e">
        <f t="shared" ca="1" si="4"/>
        <v>#VALUE!</v>
      </c>
      <c r="N99" s="10" t="e">
        <f t="shared" ca="1" si="5"/>
        <v>#VALUE!</v>
      </c>
    </row>
    <row r="100" spans="1:14">
      <c r="A100" s="21" t="str">
        <f>IF(COUNTBLANK(RAW_DATA!A100)=0,RAW_DATA!A100,"UNKNOWN")</f>
        <v>P1100</v>
      </c>
      <c r="B100" s="21" t="str">
        <f>IF(COUNTBLANK(RAW_DATA!B100)=0,RAW_DATA!B100,"UNKNOWN")</f>
        <v>Rohit</v>
      </c>
      <c r="C100" s="7" t="str">
        <f>IF(COUNTBLANK(RAW_DATA!C100)=0,RAW_DATA!C100,"N/A")</f>
        <v>N/A</v>
      </c>
      <c r="D100" s="21" t="str">
        <f>IF(COUNTBLANK(RAW_DATA!D100)=0,RAW_DATA!D100,"UNKNOWN")</f>
        <v>Male</v>
      </c>
      <c r="E100" s="21" t="str">
        <f>IF(COUNTBLANK(RAW_DATA!E100)=0,RAW_DATA!E100,"UNKNOWN")</f>
        <v>General</v>
      </c>
      <c r="F100" s="21" t="str">
        <f>IF(COUNTBLANK(RAW_DATA!F100)=0,RAW_DATA!F100,"UNKNOWN")</f>
        <v>Dr. Khan</v>
      </c>
      <c r="G100" s="20" t="str">
        <f>IF(COUNTBLANK(RAW_DATA!G100)=0,RAW_DATA!G100,"UNKNOWN")</f>
        <v>17-12-2025</v>
      </c>
      <c r="H100" s="21" t="str">
        <f>IF(COUNTBLANK(RAW_DATA!H100)=0,RAW_DATA!H100,"UNKNOWN")</f>
        <v>26-12-2025</v>
      </c>
      <c r="I100" s="21">
        <f>IF(COUNTBLANK(RAW_DATA!L100)=0,RAW_DATA!L100,0)</f>
        <v>49671</v>
      </c>
      <c r="J100" s="21" t="str">
        <f>IF(COUNTBLANK(RAW_DATA!M100)=0,RAW_DATA!M100,"UNKNOWN")</f>
        <v>No</v>
      </c>
      <c r="K100" s="21" t="str">
        <f>IF(COUNTBLANK(RAW_DATA!N100)=0,RAW_DATA!N100,"UNKNOWN")</f>
        <v>Pending</v>
      </c>
      <c r="L100" s="21" t="e">
        <f t="shared" ca="1" si="3"/>
        <v>#VALUE!</v>
      </c>
      <c r="M100" s="21" t="e">
        <f t="shared" ca="1" si="4"/>
        <v>#VALUE!</v>
      </c>
      <c r="N100" s="10" t="e">
        <f t="shared" ca="1" si="5"/>
        <v>#VALUE!</v>
      </c>
    </row>
  </sheetData>
  <mergeCells count="1">
    <mergeCell ref="P3:Q6"/>
  </mergeCells>
  <conditionalFormatting sqref="M1:M1048576">
    <cfRule type="containsText" dxfId="0" priority="1" operator="containsText" text="61+ Days Overdue">
      <formula>NOT(ISERROR(SEARCH("61+ Days Overdue",M1)))</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C7EA3-9413-424D-B36A-A00993939D9A}">
  <dimension ref="A3:E11"/>
  <sheetViews>
    <sheetView workbookViewId="0">
      <selection activeCell="M25" sqref="M25"/>
    </sheetView>
  </sheetViews>
  <sheetFormatPr defaultRowHeight="14.45"/>
  <cols>
    <col min="1" max="1" width="12.42578125" bestFit="1" customWidth="1"/>
    <col min="2" max="2" width="15.28515625" bestFit="1" customWidth="1"/>
    <col min="3" max="3" width="5" bestFit="1" customWidth="1"/>
    <col min="4" max="4" width="10.140625" bestFit="1" customWidth="1"/>
    <col min="5" max="5" width="10.7109375" bestFit="1" customWidth="1"/>
  </cols>
  <sheetData>
    <row r="3" spans="1:5">
      <c r="A3" s="8" t="s">
        <v>316</v>
      </c>
      <c r="B3" s="8" t="s">
        <v>1</v>
      </c>
      <c r="C3" s="21"/>
      <c r="D3" s="21"/>
      <c r="E3" s="21"/>
    </row>
    <row r="4" spans="1:5">
      <c r="A4" s="8" t="s">
        <v>2</v>
      </c>
      <c r="B4" s="21" t="s">
        <v>65</v>
      </c>
      <c r="C4" s="21" t="s">
        <v>45</v>
      </c>
      <c r="D4" s="21" t="s">
        <v>11</v>
      </c>
      <c r="E4" s="21" t="s">
        <v>5</v>
      </c>
    </row>
    <row r="5" spans="1:5">
      <c r="A5" s="7" t="s">
        <v>56</v>
      </c>
      <c r="B5" s="21">
        <v>7</v>
      </c>
      <c r="C5" s="21">
        <v>11</v>
      </c>
      <c r="D5" s="21"/>
      <c r="E5" s="21">
        <v>18</v>
      </c>
    </row>
    <row r="6" spans="1:5">
      <c r="A6" s="7" t="s">
        <v>46</v>
      </c>
      <c r="B6" s="21">
        <v>9</v>
      </c>
      <c r="C6" s="21">
        <v>12</v>
      </c>
      <c r="D6" s="21">
        <v>1</v>
      </c>
      <c r="E6" s="21">
        <v>22</v>
      </c>
    </row>
    <row r="7" spans="1:5">
      <c r="A7" s="7" t="s">
        <v>70</v>
      </c>
      <c r="B7" s="21">
        <v>5</v>
      </c>
      <c r="C7" s="21">
        <v>8</v>
      </c>
      <c r="D7" s="21">
        <v>1</v>
      </c>
      <c r="E7" s="21">
        <v>14</v>
      </c>
    </row>
    <row r="8" spans="1:5">
      <c r="A8" s="7" t="s">
        <v>74</v>
      </c>
      <c r="B8" s="21">
        <v>8</v>
      </c>
      <c r="C8" s="21">
        <v>5</v>
      </c>
      <c r="D8" s="21">
        <v>1</v>
      </c>
      <c r="E8" s="21">
        <v>14</v>
      </c>
    </row>
    <row r="9" spans="1:5">
      <c r="A9" s="7" t="s">
        <v>51</v>
      </c>
      <c r="B9" s="21">
        <v>6</v>
      </c>
      <c r="C9" s="21">
        <v>14</v>
      </c>
      <c r="D9" s="21"/>
      <c r="E9" s="21">
        <v>20</v>
      </c>
    </row>
    <row r="10" spans="1:5">
      <c r="A10" s="7" t="s">
        <v>11</v>
      </c>
      <c r="B10" s="21">
        <v>8</v>
      </c>
      <c r="C10" s="21">
        <v>3</v>
      </c>
      <c r="D10" s="21"/>
      <c r="E10" s="21">
        <v>11</v>
      </c>
    </row>
    <row r="11" spans="1:5">
      <c r="A11" s="7" t="s">
        <v>5</v>
      </c>
      <c r="B11" s="21">
        <v>43</v>
      </c>
      <c r="C11" s="21">
        <v>53</v>
      </c>
      <c r="D11" s="21">
        <v>3</v>
      </c>
      <c r="E11" s="21">
        <v>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0905-82B5-4E97-B168-837B2A217D56}">
  <dimension ref="A1:B6"/>
  <sheetViews>
    <sheetView workbookViewId="0">
      <selection activeCell="E23" sqref="E23"/>
    </sheetView>
  </sheetViews>
  <sheetFormatPr defaultRowHeight="14.45"/>
  <cols>
    <col min="1" max="1" width="12.140625" bestFit="1" customWidth="1"/>
  </cols>
  <sheetData>
    <row r="1" spans="1:2">
      <c r="A1" s="21" t="s">
        <v>24</v>
      </c>
      <c r="B1" s="21" t="s">
        <v>310</v>
      </c>
    </row>
    <row r="2" spans="1:2">
      <c r="A2" s="21" t="s">
        <v>8</v>
      </c>
      <c r="B2" s="21" t="s">
        <v>46</v>
      </c>
    </row>
    <row r="3" spans="1:2">
      <c r="A3" s="21" t="s">
        <v>7</v>
      </c>
      <c r="B3" s="21" t="s">
        <v>56</v>
      </c>
    </row>
    <row r="4" spans="1:2">
      <c r="A4" s="21" t="s">
        <v>6</v>
      </c>
      <c r="B4" s="21" t="s">
        <v>70</v>
      </c>
    </row>
    <row r="5" spans="1:2">
      <c r="A5" s="21" t="s">
        <v>10</v>
      </c>
      <c r="B5" s="21" t="s">
        <v>11</v>
      </c>
    </row>
    <row r="6" spans="1:2">
      <c r="A6" s="21" t="s">
        <v>9</v>
      </c>
      <c r="B6" s="21" t="s">
        <v>51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3320D-6E3A-43BA-9433-DA0F3D27F37C}">
  <dimension ref="A3:D9"/>
  <sheetViews>
    <sheetView workbookViewId="0">
      <selection activeCell="R3" sqref="R3"/>
    </sheetView>
  </sheetViews>
  <sheetFormatPr defaultRowHeight="14.45"/>
  <cols>
    <col min="1" max="1" width="12.42578125" bestFit="1" customWidth="1"/>
    <col min="2" max="2" width="15.28515625" bestFit="1" customWidth="1"/>
    <col min="3" max="3" width="3.5703125" bestFit="1" customWidth="1"/>
    <col min="4" max="5" width="10.7109375" bestFit="1" customWidth="1"/>
  </cols>
  <sheetData>
    <row r="3" spans="1:4">
      <c r="A3" s="8" t="s">
        <v>316</v>
      </c>
      <c r="B3" s="8" t="s">
        <v>1</v>
      </c>
      <c r="C3" s="21"/>
      <c r="D3" s="21"/>
    </row>
    <row r="4" spans="1:4">
      <c r="A4" s="8" t="s">
        <v>2</v>
      </c>
      <c r="B4" s="21" t="s">
        <v>49</v>
      </c>
      <c r="C4" s="21" t="s">
        <v>54</v>
      </c>
      <c r="D4" s="21" t="s">
        <v>5</v>
      </c>
    </row>
    <row r="5" spans="1:4">
      <c r="A5" s="7" t="s">
        <v>7</v>
      </c>
      <c r="B5" s="21"/>
      <c r="C5" s="21">
        <v>2</v>
      </c>
      <c r="D5" s="21">
        <v>2</v>
      </c>
    </row>
    <row r="6" spans="1:4">
      <c r="A6" s="7" t="s">
        <v>8</v>
      </c>
      <c r="B6" s="21"/>
      <c r="C6" s="21">
        <v>2</v>
      </c>
      <c r="D6" s="21">
        <v>2</v>
      </c>
    </row>
    <row r="7" spans="1:4">
      <c r="A7" s="7" t="s">
        <v>9</v>
      </c>
      <c r="B7" s="21">
        <v>1</v>
      </c>
      <c r="C7" s="21"/>
      <c r="D7" s="21">
        <v>1</v>
      </c>
    </row>
    <row r="8" spans="1:4">
      <c r="A8" s="7" t="s">
        <v>10</v>
      </c>
      <c r="B8" s="21">
        <v>2</v>
      </c>
      <c r="C8" s="21">
        <v>1</v>
      </c>
      <c r="D8" s="21">
        <v>3</v>
      </c>
    </row>
    <row r="9" spans="1:4">
      <c r="A9" s="7" t="s">
        <v>5</v>
      </c>
      <c r="B9" s="21">
        <v>3</v>
      </c>
      <c r="C9" s="21">
        <v>5</v>
      </c>
      <c r="D9" s="21">
        <v>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527DE-9EF6-4CC6-8943-198A7772D8A9}">
  <dimension ref="A1:W5"/>
  <sheetViews>
    <sheetView showGridLines="0" zoomScale="90" zoomScaleNormal="90" workbookViewId="0">
      <selection sqref="A1:W5"/>
    </sheetView>
  </sheetViews>
  <sheetFormatPr defaultRowHeight="14.45"/>
  <sheetData>
    <row r="1" spans="1:23">
      <c r="A1" s="34" t="s">
        <v>317</v>
      </c>
      <c r="B1" s="35"/>
      <c r="C1" s="35"/>
      <c r="D1" s="35"/>
      <c r="E1" s="35"/>
      <c r="F1" s="35"/>
      <c r="G1" s="35"/>
      <c r="H1" s="35"/>
      <c r="I1" s="35"/>
      <c r="J1" s="35"/>
      <c r="K1" s="35"/>
      <c r="L1" s="35"/>
      <c r="M1" s="35"/>
      <c r="N1" s="35"/>
      <c r="O1" s="35"/>
      <c r="P1" s="35"/>
      <c r="Q1" s="35"/>
      <c r="R1" s="35"/>
      <c r="S1" s="35"/>
      <c r="T1" s="35"/>
      <c r="U1" s="35"/>
      <c r="V1" s="35"/>
      <c r="W1" s="35"/>
    </row>
    <row r="2" spans="1:23">
      <c r="A2" s="35"/>
      <c r="B2" s="35"/>
      <c r="C2" s="35"/>
      <c r="D2" s="35"/>
      <c r="E2" s="35"/>
      <c r="F2" s="35"/>
      <c r="G2" s="35"/>
      <c r="H2" s="35"/>
      <c r="I2" s="35"/>
      <c r="J2" s="35"/>
      <c r="K2" s="35"/>
      <c r="L2" s="35"/>
      <c r="M2" s="35"/>
      <c r="N2" s="35"/>
      <c r="O2" s="35"/>
      <c r="P2" s="35"/>
      <c r="Q2" s="35"/>
      <c r="R2" s="35"/>
      <c r="S2" s="35"/>
      <c r="T2" s="35"/>
      <c r="U2" s="35"/>
      <c r="V2" s="35"/>
      <c r="W2" s="35"/>
    </row>
    <row r="3" spans="1:23">
      <c r="A3" s="35"/>
      <c r="B3" s="35"/>
      <c r="C3" s="35"/>
      <c r="D3" s="35"/>
      <c r="E3" s="35"/>
      <c r="F3" s="35"/>
      <c r="G3" s="35"/>
      <c r="H3" s="35"/>
      <c r="I3" s="35"/>
      <c r="J3" s="35"/>
      <c r="K3" s="35"/>
      <c r="L3" s="35"/>
      <c r="M3" s="35"/>
      <c r="N3" s="35"/>
      <c r="O3" s="35"/>
      <c r="P3" s="35"/>
      <c r="Q3" s="35"/>
      <c r="R3" s="35"/>
      <c r="S3" s="35"/>
      <c r="T3" s="35"/>
      <c r="U3" s="35"/>
      <c r="V3" s="35"/>
      <c r="W3" s="35"/>
    </row>
    <row r="4" spans="1:23">
      <c r="A4" s="35"/>
      <c r="B4" s="35"/>
      <c r="C4" s="35"/>
      <c r="D4" s="35"/>
      <c r="E4" s="35"/>
      <c r="F4" s="35"/>
      <c r="G4" s="35"/>
      <c r="H4" s="35"/>
      <c r="I4" s="35"/>
      <c r="J4" s="35"/>
      <c r="K4" s="35"/>
      <c r="L4" s="35"/>
      <c r="M4" s="35"/>
      <c r="N4" s="35"/>
      <c r="O4" s="35"/>
      <c r="P4" s="35"/>
      <c r="Q4" s="35"/>
      <c r="R4" s="35"/>
      <c r="S4" s="35"/>
      <c r="T4" s="35"/>
      <c r="U4" s="35"/>
      <c r="V4" s="35"/>
      <c r="W4" s="35"/>
    </row>
    <row r="5" spans="1:23">
      <c r="A5" s="35"/>
      <c r="B5" s="35"/>
      <c r="C5" s="35"/>
      <c r="D5" s="35"/>
      <c r="E5" s="35"/>
      <c r="F5" s="35"/>
      <c r="G5" s="35"/>
      <c r="H5" s="35"/>
      <c r="I5" s="35"/>
      <c r="J5" s="35"/>
      <c r="K5" s="35"/>
      <c r="L5" s="35"/>
      <c r="M5" s="35"/>
      <c r="N5" s="35"/>
      <c r="O5" s="35"/>
      <c r="P5" s="35"/>
      <c r="Q5" s="35"/>
      <c r="R5" s="35"/>
      <c r="S5" s="35"/>
      <c r="T5" s="35"/>
      <c r="U5" s="35"/>
      <c r="V5" s="35"/>
      <c r="W5" s="35"/>
    </row>
  </sheetData>
  <mergeCells count="1">
    <mergeCell ref="A1:W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FE412-D97A-44B6-BF56-F1E9A1315A29}">
  <dimension ref="A1:U4"/>
  <sheetViews>
    <sheetView showGridLines="0" tabSelected="1" workbookViewId="0">
      <selection activeCell="V17" sqref="V17"/>
    </sheetView>
  </sheetViews>
  <sheetFormatPr defaultRowHeight="14.45"/>
  <sheetData>
    <row r="1" spans="1:21">
      <c r="A1" s="23" t="s">
        <v>318</v>
      </c>
      <c r="B1" s="24"/>
      <c r="C1" s="24"/>
      <c r="D1" s="24"/>
      <c r="E1" s="24"/>
      <c r="F1" s="24"/>
      <c r="G1" s="24"/>
      <c r="H1" s="24"/>
      <c r="I1" s="24"/>
      <c r="J1" s="24"/>
      <c r="K1" s="24"/>
      <c r="L1" s="24"/>
      <c r="M1" s="24"/>
      <c r="N1" s="24"/>
      <c r="O1" s="24"/>
      <c r="P1" s="24"/>
      <c r="Q1" s="24"/>
      <c r="R1" s="24"/>
      <c r="S1" s="24"/>
      <c r="T1" s="24"/>
      <c r="U1" s="24"/>
    </row>
    <row r="2" spans="1:21">
      <c r="A2" s="24"/>
      <c r="B2" s="24"/>
      <c r="C2" s="24"/>
      <c r="D2" s="24"/>
      <c r="E2" s="24"/>
      <c r="F2" s="24"/>
      <c r="G2" s="24"/>
      <c r="H2" s="24"/>
      <c r="I2" s="24"/>
      <c r="J2" s="24"/>
      <c r="K2" s="24"/>
      <c r="L2" s="24"/>
      <c r="M2" s="24"/>
      <c r="N2" s="24"/>
      <c r="O2" s="24"/>
      <c r="P2" s="24"/>
      <c r="Q2" s="24"/>
      <c r="R2" s="24"/>
      <c r="S2" s="24"/>
      <c r="T2" s="24"/>
      <c r="U2" s="24"/>
    </row>
    <row r="3" spans="1:21">
      <c r="A3" s="24"/>
      <c r="B3" s="24"/>
      <c r="C3" s="24"/>
      <c r="D3" s="24"/>
      <c r="E3" s="24"/>
      <c r="F3" s="24"/>
      <c r="G3" s="24"/>
      <c r="H3" s="24"/>
      <c r="I3" s="24"/>
      <c r="J3" s="24"/>
      <c r="K3" s="24"/>
      <c r="L3" s="24"/>
      <c r="M3" s="24"/>
      <c r="N3" s="24"/>
      <c r="O3" s="24"/>
      <c r="P3" s="24"/>
      <c r="Q3" s="24"/>
      <c r="R3" s="24"/>
      <c r="S3" s="24"/>
      <c r="T3" s="24"/>
      <c r="U3" s="24"/>
    </row>
    <row r="4" spans="1:21">
      <c r="A4" s="24"/>
      <c r="B4" s="24"/>
      <c r="C4" s="24"/>
      <c r="D4" s="24"/>
      <c r="E4" s="24"/>
      <c r="F4" s="24"/>
      <c r="G4" s="24"/>
      <c r="H4" s="24"/>
      <c r="I4" s="24"/>
      <c r="J4" s="24"/>
      <c r="K4" s="24"/>
      <c r="L4" s="24"/>
      <c r="M4" s="24"/>
      <c r="N4" s="24"/>
      <c r="O4" s="24"/>
      <c r="P4" s="24"/>
      <c r="Q4" s="24"/>
      <c r="R4" s="24"/>
      <c r="S4" s="24"/>
      <c r="T4" s="24"/>
      <c r="U4" s="24"/>
    </row>
  </sheetData>
  <mergeCells count="1">
    <mergeCell ref="A1:U4"/>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Guest User</cp:lastModifiedBy>
  <cp:revision/>
  <dcterms:created xsi:type="dcterms:W3CDTF">2026-05-18T08:56:24Z</dcterms:created>
  <dcterms:modified xsi:type="dcterms:W3CDTF">2026-05-20T02:04:34Z</dcterms:modified>
  <cp:category/>
  <cp:contentStatus/>
</cp:coreProperties>
</file>